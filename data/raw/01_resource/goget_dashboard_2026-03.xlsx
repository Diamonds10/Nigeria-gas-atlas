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 of Gas Extraction Sites b" sheetId="1" r:id="rId5"/>
    <sheet state="visible" name="Sheet1" sheetId="2" r:id="rId6"/>
    <sheet state="visible" name="Count of Oil Extraction Sites b" sheetId="3" r:id="rId7"/>
    <sheet state="visible" name="Sheet2" sheetId="4" r:id="rId8"/>
    <sheet state="visible" name="All extraction sites by Country" sheetId="5" r:id="rId9"/>
    <sheet state="visible" name="All extraction sites by region" sheetId="6" r:id="rId10"/>
    <sheet state="visible" name="Production by CountryArea" sheetId="7" r:id="rId11"/>
    <sheet state="visible" name="Production by location" sheetId="8" r:id="rId12"/>
    <sheet state="visible" name="Production by region" sheetId="9" r:id="rId13"/>
    <sheet state="visible" name="Discoveries by Year and Country" sheetId="10" r:id="rId14"/>
    <sheet state="visible" name="Discoveries by Year and Region" sheetId="11" r:id="rId15"/>
    <sheet state="visible" name="Yearly FIDs Approved by Region" sheetId="12" r:id="rId16"/>
    <sheet state="visible" name="Yearly FIDs Approved by Country" sheetId="13" r:id="rId17"/>
    <sheet state="visible" name="Location by Region" sheetId="14" r:id="rId18"/>
  </sheets>
  <definedNames/>
  <calcPr/>
</workbook>
</file>

<file path=xl/sharedStrings.xml><?xml version="1.0" encoding="utf-8"?>
<sst xmlns="http://schemas.openxmlformats.org/spreadsheetml/2006/main" count="869" uniqueCount="178">
  <si>
    <t>Gas Extraction Areas (count)</t>
  </si>
  <si>
    <t>Global Oil and Gas Extraction Tracker, March 2026</t>
  </si>
  <si>
    <t>Global Energy Monitor</t>
  </si>
  <si>
    <t>Country/Area</t>
  </si>
  <si>
    <t>discovered</t>
  </si>
  <si>
    <t>in development</t>
  </si>
  <si>
    <t>pre-production (discovered + in development)</t>
  </si>
  <si>
    <t>operating</t>
  </si>
  <si>
    <t>mothballed</t>
  </si>
  <si>
    <t>other</t>
  </si>
  <si>
    <t>Total</t>
  </si>
  <si>
    <t>Algeria</t>
  </si>
  <si>
    <t>Angola</t>
  </si>
  <si>
    <t>Argentina</t>
  </si>
  <si>
    <t>Australia</t>
  </si>
  <si>
    <t>Austria</t>
  </si>
  <si>
    <t>Azerbaijan</t>
  </si>
  <si>
    <t>Bahrain</t>
  </si>
  <si>
    <t>Bangladesh</t>
  </si>
  <si>
    <t>Bolivia</t>
  </si>
  <si>
    <t>Brazil</t>
  </si>
  <si>
    <t>Brunei</t>
  </si>
  <si>
    <t>Cameroon</t>
  </si>
  <si>
    <t>Canada</t>
  </si>
  <si>
    <t>Chad</t>
  </si>
  <si>
    <t>Chile</t>
  </si>
  <si>
    <t>China</t>
  </si>
  <si>
    <t>Colombia</t>
  </si>
  <si>
    <t>Cuba</t>
  </si>
  <si>
    <t>Cyprus</t>
  </si>
  <si>
    <t>Côte d'Ivoire</t>
  </si>
  <si>
    <t>Denmark</t>
  </si>
  <si>
    <t>Ecuador</t>
  </si>
  <si>
    <t>Egypt</t>
  </si>
  <si>
    <t>Ethiopia</t>
  </si>
  <si>
    <t>France</t>
  </si>
  <si>
    <t>Gabon</t>
  </si>
  <si>
    <t>Germany</t>
  </si>
  <si>
    <t>Ghana</t>
  </si>
  <si>
    <t>Grenada</t>
  </si>
  <si>
    <t>Guyana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</si>
  <si>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</si>
  <si>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</si>
  <si>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</si>
  <si>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</si>
  <si>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</si>
  <si>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</si>
  <si>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</si>
  <si>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</si>
  <si>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</si>
  <si>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</si>
  <si>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</si>
  <si>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</si>
  <si>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</si>
  <si>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Libya</t>
  </si>
  <si>
    <t>Malaysia</t>
  </si>
  <si>
    <t>Mauritania</t>
  </si>
  <si>
    <t>Mexico</t>
  </si>
  <si>
    <t>Mongolia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</si>
  <si>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</si>
  <si>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</si>
  <si>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</si>
  <si>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</si>
  <si>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</si>
  <si>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</si>
  <si>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</si>
  <si>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</si>
  <si>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</si>
  <si>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</si>
  <si>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Palestine</t>
  </si>
  <si>
    <t>Papua New Guinea</t>
  </si>
  <si>
    <t>Peru</t>
  </si>
  <si>
    <t>Philippines</t>
  </si>
  <si>
    <t>Poland</t>
  </si>
  <si>
    <t>Qatar</t>
  </si>
  <si>
    <t>Republic of the Congo</t>
  </si>
  <si>
    <t>Romania</t>
  </si>
  <si>
    <t>Russia</t>
  </si>
  <si>
    <t>Saudi Arabia</t>
  </si>
  <si>
    <t>Senegal</t>
  </si>
  <si>
    <t>South Africa</t>
  </si>
  <si>
    <t>Spain</t>
  </si>
  <si>
    <t>Suriname</t>
  </si>
  <si>
    <t>Syria</t>
  </si>
  <si>
    <t>Tanzania</t>
  </si>
  <si>
    <t>Thailand</t>
  </si>
  <si>
    <t>Timor-Leste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</si>
  <si>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</si>
  <si>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</si>
  <si>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</si>
  <si>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</si>
  <si>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</si>
  <si>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</si>
  <si>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</si>
  <si>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</si>
  <si>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</si>
  <si>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</si>
  <si>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</si>
  <si>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Zimbabwe</t>
  </si>
  <si>
    <t>"Other" includes: UGS, abandoned, cancelled, decommissioned, unknown and exploration statuses</t>
  </si>
  <si>
    <t>GOGET includes areas that are split between countries, for the summary tables, these assets are listed within the first alphabetical country</t>
  </si>
  <si>
    <t>All areas that produce gas, inclusive of oil and gas areas</t>
  </si>
  <si>
    <t>Sub-region</t>
  </si>
  <si>
    <t>Northern America</t>
  </si>
  <si>
    <t>Latin America and the Caribbean</t>
  </si>
  <si>
    <t>Northern Europe</t>
  </si>
  <si>
    <t>Eastern Europe</t>
  </si>
  <si>
    <t>Western Europe</t>
  </si>
  <si>
    <t>Southern Europe</t>
  </si>
  <si>
    <t>South-eastern Asia</t>
  </si>
  <si>
    <t>Western Asia</t>
  </si>
  <si>
    <t>Southern Asia</t>
  </si>
  <si>
    <t>Eastern Asia</t>
  </si>
  <si>
    <t>Central Asia</t>
  </si>
  <si>
    <t>Northern Africa</t>
  </si>
  <si>
    <t>Sub-Saharan Africa</t>
  </si>
  <si>
    <t>Australia and New Zealand</t>
  </si>
  <si>
    <t>Melanesia</t>
  </si>
  <si>
    <t>Region</t>
  </si>
  <si>
    <t>Americas Subtotal</t>
  </si>
  <si>
    <t>Europe Subtotal</t>
  </si>
  <si>
    <t>Asia Subtotal</t>
  </si>
  <si>
    <t>Africa Subtotal</t>
  </si>
  <si>
    <t>Oceania Subtotal</t>
  </si>
  <si>
    <t>Grand total</t>
  </si>
  <si>
    <t>Oil Extraction Areas (count)</t>
  </si>
  <si>
    <t>Barbados</t>
  </si>
  <si>
    <t>South Sudan</t>
  </si>
  <si>
    <t>Guatemala</t>
  </si>
  <si>
    <t>Uganda</t>
  </si>
  <si>
    <t>Albania</t>
  </si>
  <si>
    <t>Madagascar</t>
  </si>
  <si>
    <t>Yemen</t>
  </si>
  <si>
    <t>"Other" includes: UGS, abandoned, cancelled, decommissioned, and exploration statuses</t>
  </si>
  <si>
    <t>All areas that produce oil, inclusive of oil and gas areas</t>
  </si>
  <si>
    <t>Oil and Gas Extraction Areas (count)</t>
  </si>
  <si>
    <t>Other</t>
  </si>
  <si>
    <t>Extraction Areas (count)</t>
  </si>
  <si>
    <t>in-development</t>
  </si>
  <si>
    <t>Pre-production (discovered+ in-development)</t>
  </si>
  <si>
    <t>Oil and Gas Production</t>
  </si>
  <si>
    <t>Gas Production (bcm/y)</t>
  </si>
  <si>
    <t>Liquids Production (million bbl/y)</t>
  </si>
  <si>
    <t>Unspecified Hydrocarbons Production (million boe/y)</t>
  </si>
  <si>
    <t>Total Production (million boe/y)</t>
  </si>
  <si>
    <t>Data for most recent year available at each area. Only inclusive of fields over inclusion thresholds</t>
  </si>
  <si>
    <t>Global Oil and Gas Extraction Tracker, February 2026</t>
  </si>
  <si>
    <t>Onshore/Offshore</t>
  </si>
  <si>
    <t>Percent</t>
  </si>
  <si>
    <t>onshore</t>
  </si>
  <si>
    <t>offshore</t>
  </si>
  <si>
    <t>unknown</t>
  </si>
  <si>
    <t>-</t>
  </si>
  <si>
    <t>Gas Production (bcm)</t>
  </si>
  <si>
    <t>Africa subtotal</t>
  </si>
  <si>
    <t>Americas subtotal</t>
  </si>
  <si>
    <t>Asia subtotal</t>
  </si>
  <si>
    <t>Europe subtotal</t>
  </si>
  <si>
    <t>Oceania subtotal</t>
  </si>
  <si>
    <t>Discoveries Made (count)</t>
  </si>
  <si>
    <t>Before 2016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</si>
  <si>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</si>
  <si>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</si>
  <si>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</si>
  <si>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</si>
  <si>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</si>
  <si>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</si>
  <si>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</si>
  <si>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</si>
  <si>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</si>
  <si>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</si>
  <si>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*Inclusive of both project level and field level units. Not comprehensive, only includes publicly identified discovery years in the GOGET dataset. </t>
  </si>
  <si>
    <t>Final Investment Decisions Made (count)</t>
  </si>
  <si>
    <t>*Inclusive of both project level and field level units. Not comprehensive, only includes publicly identified FID approval years in the GOGET dataset.</t>
  </si>
  <si>
    <t>Project Approvals Made (count)</t>
  </si>
  <si>
    <t>Offshore</t>
  </si>
  <si>
    <t>Onshore</t>
  </si>
  <si>
    <t>Only inclusive of areas with known locations in standard regions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</si>
</sst>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Arial"/>
      <scheme val="minor"/>
    </font>
    <font>
      <sz val="18.0"/>
      <color theme="1"/>
      <name val="Arial"/>
    </font>
    <font>
      <sz val="12.0"/>
      <color theme="1"/>
      <name val="Arial"/>
    </font>
    <font>
      <u/>
      <sz val="12.0"/>
      <color rgb="FF1155CC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i/>
      <sz val="11.0"/>
      <color theme="1"/>
      <name val="Arial"/>
    </font>
    <font>
      <b/>
      <sz val="11.0"/>
      <color theme="1"/>
      <name val="Arial"/>
    </font>
    <font>
      <i/>
      <sz val="11.0"/>
      <color theme="1"/>
      <name val="Calibri"/>
    </font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4" numFmtId="0" xfId="0" applyAlignment="1" applyFill="1" applyFont="1">
      <alignment horizontal="center" shrinkToFit="0" vertical="bottom" wrapText="1"/>
    </xf>
    <xf borderId="0" fillId="2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2" fontId="8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2" fontId="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2" fontId="4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0" fillId="0" fontId="5" numFmtId="1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2" fillId="2" fontId="4" numFmtId="0" xfId="0" applyAlignment="1" applyBorder="1" applyFont="1">
      <alignment horizontal="center" shrinkToFit="0" vertical="top" wrapText="1"/>
    </xf>
    <xf borderId="0" fillId="0" fontId="5" numFmtId="164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2" fontId="4" numFmtId="1" xfId="0" applyAlignment="1" applyFont="1" applyNumberFormat="1">
      <alignment horizontal="center" shrinkToFit="0" vertical="bottom" wrapText="1"/>
    </xf>
    <xf borderId="0" fillId="2" fontId="4" numFmtId="1" xfId="0" applyAlignment="1" applyFont="1" applyNumberFormat="1">
      <alignment horizontal="center" shrinkToFit="0" vertical="top" wrapText="1"/>
    </xf>
    <xf borderId="0" fillId="0" fontId="5" numFmtId="2" xfId="0" applyAlignment="1" applyFont="1" applyNumberFormat="1">
      <alignment horizontal="right" vertical="bottom"/>
    </xf>
    <xf borderId="0" fillId="0" fontId="7" numFmtId="0" xfId="0" applyAlignment="1" applyFont="1">
      <alignment horizontal="center" vertical="bottom"/>
    </xf>
    <xf borderId="0" fillId="0" fontId="9" numFmtId="2" xfId="0" applyAlignment="1" applyFont="1" applyNumberFormat="1">
      <alignment horizontal="right" vertical="bottom"/>
    </xf>
    <xf borderId="1" fillId="2" fontId="4" numFmtId="0" xfId="0" applyAlignment="1" applyBorder="1" applyFont="1">
      <alignment horizontal="center" vertical="top"/>
    </xf>
    <xf borderId="0" fillId="0" fontId="10" numFmtId="0" xfId="0" applyAlignment="1" applyFont="1">
      <alignment horizontal="center" shrinkToFit="0" vertical="bottom" wrapText="1"/>
    </xf>
    <xf borderId="0" fillId="2" fontId="8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2" fontId="8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center" vertical="top"/>
    </xf>
    <xf borderId="0" fillId="2" fontId="4" numFmtId="1" xfId="0" applyAlignment="1" applyFont="1" applyNumberFormat="1">
      <alignment horizontal="center" vertical="top"/>
    </xf>
    <xf borderId="0" fillId="0" fontId="9" numFmtId="0" xfId="0" applyAlignment="1" applyFont="1">
      <alignment vertical="bottom"/>
    </xf>
    <xf borderId="0" fillId="0" fontId="6" numFmtId="0" xfId="0" applyAlignment="1" applyFont="1">
      <alignment readingOrder="0"/>
    </xf>
    <xf borderId="0" fillId="2" fontId="4" numFmtId="0" xfId="0" applyAlignment="1" applyFont="1">
      <alignment horizontal="center" shrinkToFit="0" vertical="top" wrapText="1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oil-gas-extraction-tracker/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4.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>
      <c r="A5" s="6" t="s">
        <v>11</v>
      </c>
      <c r="B5" s="7">
        <v>2.0</v>
      </c>
      <c r="C5" s="7">
        <v>1.0</v>
      </c>
      <c r="D5" s="7">
        <v>3.0</v>
      </c>
      <c r="E5" s="7">
        <v>36.0</v>
      </c>
      <c r="F5" s="7">
        <v>0.0</v>
      </c>
      <c r="G5" s="7">
        <v>0.0</v>
      </c>
      <c r="H5" s="7">
        <v>40.0</v>
      </c>
    </row>
    <row r="6">
      <c r="A6" s="6" t="s">
        <v>12</v>
      </c>
      <c r="B6" s="7">
        <v>2.0</v>
      </c>
      <c r="C6" s="7">
        <v>0.0</v>
      </c>
      <c r="D6" s="7">
        <v>2.0</v>
      </c>
      <c r="E6" s="7">
        <v>28.0</v>
      </c>
      <c r="F6" s="7">
        <v>0.0</v>
      </c>
      <c r="G6" s="7">
        <v>0.0</v>
      </c>
      <c r="H6" s="7">
        <v>30.0</v>
      </c>
    </row>
    <row r="7">
      <c r="A7" s="6" t="s">
        <v>13</v>
      </c>
      <c r="B7" s="7">
        <v>0.0</v>
      </c>
      <c r="C7" s="7">
        <v>0.0</v>
      </c>
      <c r="D7" s="7">
        <v>0.0</v>
      </c>
      <c r="E7" s="7">
        <v>201.0</v>
      </c>
      <c r="F7" s="7">
        <v>2.0</v>
      </c>
      <c r="G7" s="7">
        <v>0.0</v>
      </c>
      <c r="H7" s="7">
        <v>203.0</v>
      </c>
    </row>
    <row r="8">
      <c r="A8" s="6" t="s">
        <v>14</v>
      </c>
      <c r="B8" s="7">
        <v>26.0</v>
      </c>
      <c r="C8" s="7">
        <v>2.0</v>
      </c>
      <c r="D8" s="7">
        <v>28.0</v>
      </c>
      <c r="E8" s="7">
        <v>101.0</v>
      </c>
      <c r="F8" s="7">
        <v>3.0</v>
      </c>
      <c r="G8" s="7">
        <v>0.0</v>
      </c>
      <c r="H8" s="7">
        <v>178.0</v>
      </c>
    </row>
    <row r="9">
      <c r="A9" s="6" t="s">
        <v>15</v>
      </c>
      <c r="B9" s="7">
        <v>2.0</v>
      </c>
      <c r="C9" s="7">
        <v>0.0</v>
      </c>
      <c r="D9" s="7">
        <v>2.0</v>
      </c>
      <c r="E9" s="7">
        <v>2.0</v>
      </c>
      <c r="F9" s="7">
        <v>0.0</v>
      </c>
      <c r="G9" s="7">
        <v>0.0</v>
      </c>
      <c r="H9" s="7">
        <v>4.0</v>
      </c>
    </row>
    <row r="10">
      <c r="A10" s="6" t="s">
        <v>16</v>
      </c>
      <c r="B10" s="7">
        <v>4.0</v>
      </c>
      <c r="C10" s="7">
        <v>0.0</v>
      </c>
      <c r="D10" s="7">
        <v>4.0</v>
      </c>
      <c r="E10" s="7">
        <v>10.0</v>
      </c>
      <c r="F10" s="7">
        <v>0.0</v>
      </c>
      <c r="G10" s="7">
        <v>0.0</v>
      </c>
      <c r="H10" s="7">
        <v>15.0</v>
      </c>
    </row>
    <row r="11">
      <c r="A11" s="6" t="s">
        <v>17</v>
      </c>
      <c r="B11" s="7">
        <v>1.0</v>
      </c>
      <c r="C11" s="7">
        <v>0.0</v>
      </c>
      <c r="D11" s="7">
        <v>1.0</v>
      </c>
      <c r="E11" s="7">
        <v>1.0</v>
      </c>
      <c r="F11" s="7">
        <v>0.0</v>
      </c>
      <c r="G11" s="7">
        <v>0.0</v>
      </c>
      <c r="H11" s="7">
        <v>2.0</v>
      </c>
    </row>
    <row r="12">
      <c r="A12" s="6" t="s">
        <v>18</v>
      </c>
      <c r="B12" s="7">
        <v>1.0</v>
      </c>
      <c r="C12" s="7">
        <v>0.0</v>
      </c>
      <c r="D12" s="7">
        <v>1.0</v>
      </c>
      <c r="E12" s="7">
        <v>6.0</v>
      </c>
      <c r="F12" s="7">
        <v>0.0</v>
      </c>
      <c r="G12" s="7">
        <v>0.0</v>
      </c>
      <c r="H12" s="7">
        <v>7.0</v>
      </c>
    </row>
    <row r="13">
      <c r="A13" s="6" t="s">
        <v>19</v>
      </c>
      <c r="B13" s="7">
        <v>3.0</v>
      </c>
      <c r="C13" s="7">
        <v>0.0</v>
      </c>
      <c r="D13" s="7">
        <v>3.0</v>
      </c>
      <c r="E13" s="7">
        <v>8.0</v>
      </c>
      <c r="F13" s="7">
        <v>0.0</v>
      </c>
      <c r="G13" s="7">
        <v>2.0</v>
      </c>
      <c r="H13" s="7">
        <v>13.0</v>
      </c>
    </row>
    <row r="14">
      <c r="A14" s="6" t="s">
        <v>20</v>
      </c>
      <c r="B14" s="7">
        <v>14.0</v>
      </c>
      <c r="C14" s="7">
        <v>11.0</v>
      </c>
      <c r="D14" s="7">
        <v>25.0</v>
      </c>
      <c r="E14" s="7">
        <v>112.0</v>
      </c>
      <c r="F14" s="7">
        <v>14.0</v>
      </c>
      <c r="G14" s="7">
        <v>1.0</v>
      </c>
      <c r="H14" s="7">
        <v>154.0</v>
      </c>
    </row>
    <row r="15">
      <c r="A15" s="6" t="s">
        <v>21</v>
      </c>
      <c r="B15" s="7">
        <v>2.0</v>
      </c>
      <c r="C15" s="7">
        <v>2.0</v>
      </c>
      <c r="D15" s="7">
        <v>4.0</v>
      </c>
      <c r="E15" s="7">
        <v>7.0</v>
      </c>
      <c r="F15" s="7">
        <v>0.0</v>
      </c>
      <c r="G15" s="7">
        <v>0.0</v>
      </c>
      <c r="H15" s="7">
        <v>11.0</v>
      </c>
    </row>
    <row r="16">
      <c r="A16" s="6" t="s">
        <v>22</v>
      </c>
      <c r="B16" s="7">
        <v>0.0</v>
      </c>
      <c r="C16" s="7">
        <v>0.0</v>
      </c>
      <c r="D16" s="7">
        <v>0.0</v>
      </c>
      <c r="E16" s="7">
        <v>2.0</v>
      </c>
      <c r="F16" s="7">
        <v>0.0</v>
      </c>
      <c r="G16" s="7">
        <v>0.0</v>
      </c>
      <c r="H16" s="7">
        <v>2.0</v>
      </c>
    </row>
    <row r="17">
      <c r="A17" s="6" t="s">
        <v>23</v>
      </c>
      <c r="B17" s="7">
        <v>13.0</v>
      </c>
      <c r="C17" s="7">
        <v>0.0</v>
      </c>
      <c r="D17" s="7">
        <v>13.0</v>
      </c>
      <c r="E17" s="7">
        <v>627.0</v>
      </c>
      <c r="F17" s="7">
        <v>7.0</v>
      </c>
      <c r="G17" s="7">
        <v>0.0</v>
      </c>
      <c r="H17" s="7">
        <v>708.0</v>
      </c>
    </row>
    <row r="18">
      <c r="A18" s="6" t="s">
        <v>24</v>
      </c>
      <c r="B18" s="7">
        <v>0.0</v>
      </c>
      <c r="C18" s="7">
        <v>0.0</v>
      </c>
      <c r="D18" s="7">
        <v>0.0</v>
      </c>
      <c r="E18" s="7">
        <v>7.0</v>
      </c>
      <c r="F18" s="7">
        <v>0.0</v>
      </c>
      <c r="G18" s="7">
        <v>0.0</v>
      </c>
      <c r="H18" s="7">
        <v>7.0</v>
      </c>
    </row>
    <row r="19">
      <c r="A19" s="6" t="s">
        <v>25</v>
      </c>
      <c r="B19" s="7">
        <v>0.0</v>
      </c>
      <c r="C19" s="7">
        <v>0.0</v>
      </c>
      <c r="D19" s="7">
        <v>0.0</v>
      </c>
      <c r="E19" s="7">
        <v>1.0</v>
      </c>
      <c r="F19" s="7">
        <v>0.0</v>
      </c>
      <c r="G19" s="7">
        <v>0.0</v>
      </c>
      <c r="H19" s="7">
        <v>1.0</v>
      </c>
    </row>
    <row r="20">
      <c r="A20" s="6" t="s">
        <v>26</v>
      </c>
      <c r="B20" s="8">
        <v>5.0</v>
      </c>
      <c r="C20" s="7">
        <v>8.0</v>
      </c>
      <c r="D20" s="8">
        <v>13.0</v>
      </c>
      <c r="E20" s="7">
        <v>111.0</v>
      </c>
      <c r="F20" s="7">
        <v>0.0</v>
      </c>
      <c r="G20" s="7">
        <v>0.0</v>
      </c>
      <c r="H20" s="8">
        <v>125.0</v>
      </c>
    </row>
    <row r="21">
      <c r="A21" s="6" t="s">
        <v>27</v>
      </c>
      <c r="B21" s="7">
        <v>2.0</v>
      </c>
      <c r="C21" s="7">
        <v>0.0</v>
      </c>
      <c r="D21" s="7">
        <v>2.0</v>
      </c>
      <c r="E21" s="7">
        <v>186.0</v>
      </c>
      <c r="F21" s="7">
        <v>2.0</v>
      </c>
      <c r="G21" s="7">
        <v>0.0</v>
      </c>
      <c r="H21" s="7">
        <v>191.0</v>
      </c>
    </row>
    <row r="22">
      <c r="A22" s="6" t="s">
        <v>28</v>
      </c>
      <c r="B22" s="7">
        <v>0.0</v>
      </c>
      <c r="C22" s="7">
        <v>0.0</v>
      </c>
      <c r="D22" s="7">
        <v>0.0</v>
      </c>
      <c r="E22" s="7">
        <v>1.0</v>
      </c>
      <c r="F22" s="7">
        <v>0.0</v>
      </c>
      <c r="G22" s="7">
        <v>0.0</v>
      </c>
      <c r="H22" s="7">
        <v>1.0</v>
      </c>
    </row>
    <row r="23">
      <c r="A23" s="6" t="s">
        <v>29</v>
      </c>
      <c r="B23" s="7">
        <v>5.0</v>
      </c>
      <c r="C23" s="7">
        <v>0.0</v>
      </c>
      <c r="D23" s="7">
        <v>5.0</v>
      </c>
      <c r="E23" s="7">
        <v>0.0</v>
      </c>
      <c r="F23" s="7">
        <v>0.0</v>
      </c>
      <c r="G23" s="7">
        <v>0.0</v>
      </c>
      <c r="H23" s="7">
        <v>5.0</v>
      </c>
    </row>
    <row r="24" ht="15.75" customHeight="1">
      <c r="A24" s="6" t="s">
        <v>30</v>
      </c>
      <c r="B24" s="7">
        <v>2.0</v>
      </c>
      <c r="C24" s="7">
        <v>0.0</v>
      </c>
      <c r="D24" s="7">
        <v>2.0</v>
      </c>
      <c r="E24" s="7">
        <v>4.0</v>
      </c>
      <c r="F24" s="7">
        <v>1.0</v>
      </c>
      <c r="G24" s="7">
        <v>0.0</v>
      </c>
      <c r="H24" s="7">
        <v>7.0</v>
      </c>
    </row>
    <row r="25" ht="15.75" customHeight="1">
      <c r="A25" s="6" t="s">
        <v>31</v>
      </c>
      <c r="B25" s="7">
        <v>6.0</v>
      </c>
      <c r="C25" s="7">
        <v>0.0</v>
      </c>
      <c r="D25" s="7">
        <v>6.0</v>
      </c>
      <c r="E25" s="7">
        <v>12.0</v>
      </c>
      <c r="F25" s="7">
        <v>3.0</v>
      </c>
      <c r="G25" s="7">
        <v>0.0</v>
      </c>
      <c r="H25" s="7">
        <v>24.0</v>
      </c>
    </row>
    <row r="26" ht="15.75" customHeight="1">
      <c r="A26" s="6" t="s">
        <v>32</v>
      </c>
      <c r="B26" s="7">
        <v>0.0</v>
      </c>
      <c r="C26" s="7">
        <v>0.0</v>
      </c>
      <c r="D26" s="7">
        <v>0.0</v>
      </c>
      <c r="E26" s="7">
        <v>83.0</v>
      </c>
      <c r="F26" s="7">
        <v>5.0</v>
      </c>
      <c r="G26" s="7">
        <v>0.0</v>
      </c>
      <c r="H26" s="7">
        <v>88.0</v>
      </c>
    </row>
    <row r="27" ht="15.75" customHeight="1">
      <c r="A27" s="6" t="s">
        <v>33</v>
      </c>
      <c r="B27" s="7">
        <v>3.0</v>
      </c>
      <c r="C27" s="7">
        <v>3.0</v>
      </c>
      <c r="D27" s="7">
        <v>6.0</v>
      </c>
      <c r="E27" s="7">
        <v>65.0</v>
      </c>
      <c r="F27" s="7">
        <v>1.0</v>
      </c>
      <c r="G27" s="7">
        <v>0.0</v>
      </c>
      <c r="H27" s="7">
        <v>77.0</v>
      </c>
    </row>
    <row r="28" ht="15.75" customHeight="1">
      <c r="A28" s="6" t="s">
        <v>34</v>
      </c>
      <c r="B28" s="7">
        <v>2.0</v>
      </c>
      <c r="C28" s="7">
        <v>0.0</v>
      </c>
      <c r="D28" s="7">
        <v>2.0</v>
      </c>
      <c r="E28" s="7">
        <v>0.0</v>
      </c>
      <c r="F28" s="7">
        <v>2.0</v>
      </c>
      <c r="G28" s="7">
        <v>0.0</v>
      </c>
      <c r="H28" s="7">
        <v>4.0</v>
      </c>
    </row>
    <row r="29" ht="15.75" customHeight="1">
      <c r="A29" s="6" t="s">
        <v>35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2.0</v>
      </c>
    </row>
    <row r="30" ht="15.75" customHeight="1">
      <c r="A30" s="6" t="s">
        <v>36</v>
      </c>
      <c r="B30" s="7">
        <v>0.0</v>
      </c>
      <c r="C30" s="7">
        <v>0.0</v>
      </c>
      <c r="D30" s="7">
        <v>0.0</v>
      </c>
      <c r="E30" s="7">
        <v>2.0</v>
      </c>
      <c r="F30" s="7">
        <v>0.0</v>
      </c>
      <c r="G30" s="7">
        <v>0.0</v>
      </c>
      <c r="H30" s="7">
        <v>2.0</v>
      </c>
    </row>
    <row r="31" ht="15.75" customHeight="1">
      <c r="A31" s="6" t="s">
        <v>37</v>
      </c>
      <c r="B31" s="7">
        <v>0.0</v>
      </c>
      <c r="C31" s="7">
        <v>0.0</v>
      </c>
      <c r="D31" s="7">
        <v>0.0</v>
      </c>
      <c r="E31" s="7">
        <v>48.0</v>
      </c>
      <c r="F31" s="7">
        <v>0.0</v>
      </c>
      <c r="G31" s="7">
        <v>0.0</v>
      </c>
      <c r="H31" s="7">
        <v>50.0</v>
      </c>
    </row>
    <row r="32" ht="15.75" customHeight="1">
      <c r="A32" s="6" t="s">
        <v>38</v>
      </c>
      <c r="B32" s="7">
        <v>1.0</v>
      </c>
      <c r="C32" s="7">
        <v>0.0</v>
      </c>
      <c r="D32" s="7">
        <v>1.0</v>
      </c>
      <c r="E32" s="7">
        <v>1.0</v>
      </c>
      <c r="F32" s="7">
        <v>0.0</v>
      </c>
      <c r="G32" s="7">
        <v>0.0</v>
      </c>
      <c r="H32" s="7">
        <v>2.0</v>
      </c>
    </row>
    <row r="33" ht="15.75" customHeight="1">
      <c r="A33" s="6" t="s">
        <v>39</v>
      </c>
      <c r="B33" s="7">
        <v>1.0</v>
      </c>
      <c r="C33" s="7">
        <v>0.0</v>
      </c>
      <c r="D33" s="7">
        <v>1.0</v>
      </c>
      <c r="E33" s="7">
        <v>0.0</v>
      </c>
      <c r="F33" s="7">
        <v>0.0</v>
      </c>
      <c r="G33" s="7">
        <v>0.0</v>
      </c>
      <c r="H33" s="7">
        <v>1.0</v>
      </c>
    </row>
    <row r="34" ht="15.75" customHeight="1">
      <c r="A34" s="6" t="s">
        <v>40</v>
      </c>
      <c r="B34" s="7">
        <v>13.0</v>
      </c>
      <c r="C34" s="7">
        <v>5.0</v>
      </c>
      <c r="D34" s="7">
        <v>18.0</v>
      </c>
      <c r="E34" s="7">
        <v>4.0</v>
      </c>
      <c r="F34" s="7">
        <v>0.0</v>
      </c>
      <c r="G34" s="7">
        <v>0.0</v>
      </c>
      <c r="H34" s="7">
        <v>22.0</v>
      </c>
    </row>
    <row r="35" ht="15.75" customHeight="1">
      <c r="A35" s="6" t="s">
        <v>41</v>
      </c>
      <c r="B35" s="7">
        <v>0.0</v>
      </c>
      <c r="C35" s="7">
        <v>0.0</v>
      </c>
      <c r="D35" s="7">
        <v>0.0</v>
      </c>
      <c r="E35" s="7">
        <v>3.0</v>
      </c>
      <c r="F35" s="7">
        <v>0.0</v>
      </c>
      <c r="G35" s="7">
        <v>0.0</v>
      </c>
      <c r="H35" s="7">
        <v>3.0</v>
      </c>
    </row>
    <row r="36" ht="15.75" customHeight="1">
      <c r="A36" s="6" t="s">
        <v>42</v>
      </c>
      <c r="B36" s="7">
        <v>0.0</v>
      </c>
      <c r="C36" s="7">
        <v>2.0</v>
      </c>
      <c r="D36" s="7">
        <v>2.0</v>
      </c>
      <c r="E36" s="7">
        <v>17.0</v>
      </c>
      <c r="F36" s="7">
        <v>0.0</v>
      </c>
      <c r="G36" s="7">
        <v>0.0</v>
      </c>
      <c r="H36" s="7">
        <v>19.0</v>
      </c>
    </row>
    <row r="37" ht="15.75" customHeight="1">
      <c r="A37" s="6" t="s">
        <v>43</v>
      </c>
      <c r="B37" s="7">
        <v>20.0</v>
      </c>
      <c r="C37" s="7">
        <v>9.0</v>
      </c>
      <c r="D37" s="7">
        <v>29.0</v>
      </c>
      <c r="E37" s="7">
        <v>42.0</v>
      </c>
      <c r="F37" s="7">
        <v>0.0</v>
      </c>
      <c r="G37" s="7">
        <v>2.0</v>
      </c>
      <c r="H37" s="7">
        <v>73.0</v>
      </c>
    </row>
    <row r="38" ht="15.75" customHeight="1">
      <c r="A38" s="6" t="s">
        <v>44</v>
      </c>
      <c r="B38" s="7">
        <v>5.0</v>
      </c>
      <c r="C38" s="7">
        <v>6.0</v>
      </c>
      <c r="D38" s="7">
        <v>11.0</v>
      </c>
      <c r="E38" s="7">
        <v>47.0</v>
      </c>
      <c r="F38" s="7">
        <v>0.0</v>
      </c>
      <c r="G38" s="7">
        <v>0.0</v>
      </c>
      <c r="H38" s="7">
        <v>59.0</v>
      </c>
    </row>
    <row r="39" ht="15.75" customHeight="1">
      <c r="A39" s="6" t="s">
        <v>45</v>
      </c>
      <c r="B39" s="7">
        <v>1.0</v>
      </c>
      <c r="C39" s="7">
        <v>6.0</v>
      </c>
      <c r="D39" s="7">
        <v>7.0</v>
      </c>
      <c r="E39" s="7">
        <v>22.0</v>
      </c>
      <c r="F39" s="7">
        <v>2.0</v>
      </c>
      <c r="G39" s="7">
        <v>0.0</v>
      </c>
      <c r="H39" s="7">
        <v>31.0</v>
      </c>
    </row>
    <row r="40" ht="15.75" customHeight="1">
      <c r="A40" s="6" t="s">
        <v>46</v>
      </c>
      <c r="B40" s="7">
        <v>12.0</v>
      </c>
      <c r="C40" s="7">
        <v>0.0</v>
      </c>
      <c r="D40" s="7">
        <v>12.0</v>
      </c>
      <c r="E40" s="7">
        <v>1.0</v>
      </c>
      <c r="F40" s="7">
        <v>0.0</v>
      </c>
      <c r="G40" s="7">
        <v>1.0</v>
      </c>
      <c r="H40" s="7">
        <v>14.0</v>
      </c>
    </row>
    <row r="41" ht="15.75" customHeight="1">
      <c r="A41" s="6" t="s">
        <v>47</v>
      </c>
      <c r="B41" s="7">
        <v>5.0</v>
      </c>
      <c r="C41" s="7">
        <v>4.0</v>
      </c>
      <c r="D41" s="7">
        <v>9.0</v>
      </c>
      <c r="E41" s="7">
        <v>4.0</v>
      </c>
      <c r="F41" s="7">
        <v>1.0</v>
      </c>
      <c r="G41" s="7">
        <v>0.0</v>
      </c>
      <c r="H41" s="7">
        <v>15.0</v>
      </c>
    </row>
    <row r="42" ht="15.75" customHeight="1">
      <c r="A42" s="6" t="s">
        <v>48</v>
      </c>
      <c r="B42" s="7">
        <v>0.0</v>
      </c>
      <c r="C42" s="7">
        <v>0.0</v>
      </c>
      <c r="D42" s="7">
        <v>0.0</v>
      </c>
      <c r="E42" s="7">
        <v>32.0</v>
      </c>
      <c r="F42" s="7">
        <v>0.0</v>
      </c>
      <c r="G42" s="7">
        <v>0.0</v>
      </c>
      <c r="H42" s="7">
        <v>35.0</v>
      </c>
    </row>
    <row r="43" ht="15.75" customHeight="1">
      <c r="A43" s="6" t="s">
        <v>49</v>
      </c>
      <c r="B43" s="7">
        <v>0.0</v>
      </c>
      <c r="C43" s="7">
        <v>0.0</v>
      </c>
      <c r="D43" s="7">
        <v>0.0</v>
      </c>
      <c r="E43" s="7">
        <v>1.0</v>
      </c>
      <c r="F43" s="7">
        <v>0.0</v>
      </c>
      <c r="G43" s="7">
        <v>0.0</v>
      </c>
      <c r="H43" s="7">
        <v>1.0</v>
      </c>
    </row>
    <row r="44" ht="15.75" customHeight="1">
      <c r="A44" s="6" t="s">
        <v>50</v>
      </c>
      <c r="B44" s="7">
        <v>0.0</v>
      </c>
      <c r="C44" s="7">
        <v>0.0</v>
      </c>
      <c r="D44" s="7">
        <v>0.0</v>
      </c>
      <c r="E44" s="7">
        <v>1.0</v>
      </c>
      <c r="F44" s="7">
        <v>0.0</v>
      </c>
      <c r="G44" s="7">
        <v>0.0</v>
      </c>
      <c r="H44" s="7">
        <v>1.0</v>
      </c>
    </row>
    <row r="45" ht="15.75" customHeight="1">
      <c r="A45" s="6" t="s">
        <v>51</v>
      </c>
      <c r="B45" s="7">
        <v>4.0</v>
      </c>
      <c r="C45" s="7">
        <v>1.0</v>
      </c>
      <c r="D45" s="7">
        <v>5.0</v>
      </c>
      <c r="E45" s="7">
        <v>32.0</v>
      </c>
      <c r="F45" s="7">
        <v>0.0</v>
      </c>
      <c r="G45" s="7">
        <v>0.0</v>
      </c>
      <c r="H45" s="7">
        <v>40.0</v>
      </c>
    </row>
    <row r="46" ht="15.75" customHeight="1">
      <c r="A46" s="6" t="s">
        <v>52</v>
      </c>
      <c r="B46" s="7">
        <v>0.0</v>
      </c>
      <c r="C46" s="7">
        <v>1.0</v>
      </c>
      <c r="D46" s="7">
        <v>1.0</v>
      </c>
      <c r="E46" s="7">
        <v>0.0</v>
      </c>
      <c r="F46" s="7">
        <v>0.0</v>
      </c>
      <c r="G46" s="7">
        <v>0.0</v>
      </c>
      <c r="H46" s="7">
        <v>1.0</v>
      </c>
    </row>
    <row r="47" ht="15.75" customHeight="1">
      <c r="A47" s="6" t="s">
        <v>53</v>
      </c>
      <c r="B47" s="7">
        <v>4.0</v>
      </c>
      <c r="C47" s="7">
        <v>1.0</v>
      </c>
      <c r="D47" s="7">
        <v>5.0</v>
      </c>
      <c r="E47" s="7">
        <v>10.0</v>
      </c>
      <c r="F47" s="7">
        <v>0.0</v>
      </c>
      <c r="G47" s="7">
        <v>0.0</v>
      </c>
      <c r="H47" s="7">
        <v>16.0</v>
      </c>
    </row>
    <row r="48" ht="15.75" customHeight="1">
      <c r="A48" s="6" t="s">
        <v>54</v>
      </c>
      <c r="B48" s="7">
        <v>2.0</v>
      </c>
      <c r="C48" s="7">
        <v>2.0</v>
      </c>
      <c r="D48" s="7">
        <v>4.0</v>
      </c>
      <c r="E48" s="7">
        <v>20.0</v>
      </c>
      <c r="F48" s="7">
        <v>1.0</v>
      </c>
      <c r="G48" s="7">
        <v>0.0</v>
      </c>
      <c r="H48" s="7">
        <v>26.0</v>
      </c>
    </row>
    <row r="49" ht="15.75" customHeight="1">
      <c r="A49" s="6" t="s">
        <v>55</v>
      </c>
      <c r="B49" s="7">
        <v>11.0</v>
      </c>
      <c r="C49" s="7">
        <v>6.0</v>
      </c>
      <c r="D49" s="7">
        <v>17.0</v>
      </c>
      <c r="E49" s="7">
        <v>51.0</v>
      </c>
      <c r="F49" s="7">
        <v>0.0</v>
      </c>
      <c r="G49" s="7">
        <v>0.0</v>
      </c>
      <c r="H49" s="7">
        <v>70.0</v>
      </c>
    </row>
    <row r="50" ht="15.75" customHeight="1">
      <c r="A50" s="6" t="s">
        <v>56</v>
      </c>
      <c r="B50" s="7">
        <v>2.0</v>
      </c>
      <c r="C50" s="7">
        <v>0.0</v>
      </c>
      <c r="D50" s="7">
        <v>2.0</v>
      </c>
      <c r="E50" s="7">
        <v>1.0</v>
      </c>
      <c r="F50" s="7">
        <v>0.0</v>
      </c>
      <c r="G50" s="7">
        <v>0.0</v>
      </c>
      <c r="H50" s="7">
        <v>4.0</v>
      </c>
    </row>
    <row r="51" ht="15.75" customHeight="1">
      <c r="A51" s="6" t="s">
        <v>57</v>
      </c>
      <c r="B51" s="7">
        <v>9.0</v>
      </c>
      <c r="C51" s="7">
        <v>8.0</v>
      </c>
      <c r="D51" s="7">
        <v>17.0</v>
      </c>
      <c r="E51" s="7">
        <v>199.0</v>
      </c>
      <c r="F51" s="7">
        <v>8.0</v>
      </c>
      <c r="G51" s="7">
        <v>0.0</v>
      </c>
      <c r="H51" s="7">
        <v>233.0</v>
      </c>
    </row>
    <row r="52" ht="15.75" customHeight="1">
      <c r="A52" s="6" t="s">
        <v>58</v>
      </c>
      <c r="B52" s="7">
        <v>0.0</v>
      </c>
      <c r="C52" s="7">
        <v>0.0</v>
      </c>
      <c r="D52" s="7">
        <v>0.0</v>
      </c>
      <c r="E52" s="7">
        <v>1.0</v>
      </c>
      <c r="F52" s="7">
        <v>0.0</v>
      </c>
      <c r="G52" s="7">
        <v>0.0</v>
      </c>
      <c r="H52" s="7">
        <v>1.0</v>
      </c>
    </row>
    <row r="53" ht="15.75" customHeight="1">
      <c r="A53" s="6" t="s">
        <v>59</v>
      </c>
      <c r="B53" s="7">
        <v>1.0</v>
      </c>
      <c r="C53" s="7">
        <v>0.0</v>
      </c>
      <c r="D53" s="7">
        <v>1.0</v>
      </c>
      <c r="E53" s="7">
        <v>0.0</v>
      </c>
      <c r="F53" s="7">
        <v>0.0</v>
      </c>
      <c r="G53" s="7">
        <v>0.0</v>
      </c>
      <c r="H53" s="7">
        <v>1.0</v>
      </c>
    </row>
    <row r="54" ht="15.75" customHeight="1">
      <c r="A54" s="6" t="s">
        <v>60</v>
      </c>
      <c r="B54" s="7">
        <v>1.0</v>
      </c>
      <c r="C54" s="7">
        <v>4.0</v>
      </c>
      <c r="D54" s="7">
        <v>5.0</v>
      </c>
      <c r="E54" s="7">
        <v>5.0</v>
      </c>
      <c r="F54" s="7">
        <v>0.0</v>
      </c>
      <c r="G54" s="7">
        <v>0.0</v>
      </c>
      <c r="H54" s="7">
        <v>10.0</v>
      </c>
    </row>
    <row r="55" ht="15.75" customHeight="1">
      <c r="A55" s="6" t="s">
        <v>61</v>
      </c>
      <c r="B55" s="7">
        <v>1.0</v>
      </c>
      <c r="C55" s="7">
        <v>1.0</v>
      </c>
      <c r="D55" s="7">
        <v>2.0</v>
      </c>
      <c r="E55" s="7">
        <v>1.0</v>
      </c>
      <c r="F55" s="7">
        <v>0.0</v>
      </c>
      <c r="G55" s="7">
        <v>1.0</v>
      </c>
      <c r="H55" s="7">
        <v>4.0</v>
      </c>
    </row>
    <row r="56" ht="15.75" customHeight="1">
      <c r="A56" s="6" t="s">
        <v>62</v>
      </c>
      <c r="B56" s="7">
        <v>5.0</v>
      </c>
      <c r="C56" s="7">
        <v>0.0</v>
      </c>
      <c r="D56" s="7">
        <v>5.0</v>
      </c>
      <c r="E56" s="7">
        <v>0.0</v>
      </c>
      <c r="F56" s="7">
        <v>0.0</v>
      </c>
      <c r="G56" s="7">
        <v>0.0</v>
      </c>
      <c r="H56" s="7">
        <v>5.0</v>
      </c>
    </row>
    <row r="57" ht="15.75" customHeight="1">
      <c r="A57" s="6" t="s">
        <v>63</v>
      </c>
      <c r="B57" s="7">
        <v>13.0</v>
      </c>
      <c r="C57" s="7">
        <v>4.0</v>
      </c>
      <c r="D57" s="7">
        <v>17.0</v>
      </c>
      <c r="E57" s="7">
        <v>117.0</v>
      </c>
      <c r="F57" s="7">
        <v>15.0</v>
      </c>
      <c r="G57" s="7">
        <v>14.0</v>
      </c>
      <c r="H57" s="7">
        <v>163.0</v>
      </c>
    </row>
    <row r="58" ht="15.75" customHeight="1">
      <c r="A58" s="6" t="s">
        <v>64</v>
      </c>
      <c r="B58" s="7">
        <v>0.0</v>
      </c>
      <c r="C58" s="7">
        <v>0.0</v>
      </c>
      <c r="D58" s="7">
        <v>0.0</v>
      </c>
      <c r="E58" s="7">
        <v>7.0</v>
      </c>
      <c r="F58" s="7">
        <v>0.0</v>
      </c>
      <c r="G58" s="7">
        <v>0.0</v>
      </c>
      <c r="H58" s="7">
        <v>7.0</v>
      </c>
    </row>
    <row r="59" ht="15.75" customHeight="1">
      <c r="A59" s="6" t="s">
        <v>65</v>
      </c>
      <c r="B59" s="7">
        <v>4.0</v>
      </c>
      <c r="C59" s="7">
        <v>30.0</v>
      </c>
      <c r="D59" s="7">
        <v>34.0</v>
      </c>
      <c r="E59" s="7">
        <v>177.0</v>
      </c>
      <c r="F59" s="7">
        <v>19.0</v>
      </c>
      <c r="G59" s="7">
        <v>0.0</v>
      </c>
      <c r="H59" s="7">
        <v>231.0</v>
      </c>
    </row>
    <row r="60" ht="15.75" customHeight="1">
      <c r="A60" s="6" t="s">
        <v>66</v>
      </c>
      <c r="B60" s="7">
        <v>30.0</v>
      </c>
      <c r="C60" s="7">
        <v>12.0</v>
      </c>
      <c r="D60" s="7">
        <v>42.0</v>
      </c>
      <c r="E60" s="7">
        <v>90.0</v>
      </c>
      <c r="F60" s="7">
        <v>4.0</v>
      </c>
      <c r="G60" s="7">
        <v>0.0</v>
      </c>
      <c r="H60" s="7">
        <v>137.0</v>
      </c>
    </row>
    <row r="61" ht="15.75" customHeight="1">
      <c r="A61" s="6" t="s">
        <v>67</v>
      </c>
      <c r="B61" s="7">
        <v>0.0</v>
      </c>
      <c r="C61" s="7">
        <v>1.0</v>
      </c>
      <c r="D61" s="7">
        <v>1.0</v>
      </c>
      <c r="E61" s="7">
        <v>20.0</v>
      </c>
      <c r="F61" s="7">
        <v>0.0</v>
      </c>
      <c r="G61" s="7">
        <v>0.0</v>
      </c>
      <c r="H61" s="7">
        <v>21.0</v>
      </c>
    </row>
    <row r="62" ht="15.75" customHeight="1">
      <c r="A62" s="6" t="s">
        <v>68</v>
      </c>
      <c r="B62" s="7">
        <v>1.0</v>
      </c>
      <c r="C62" s="7">
        <v>1.0</v>
      </c>
      <c r="D62" s="7">
        <v>2.0</v>
      </c>
      <c r="E62" s="7">
        <v>32.0</v>
      </c>
      <c r="F62" s="7">
        <v>1.0</v>
      </c>
      <c r="G62" s="7">
        <v>0.0</v>
      </c>
      <c r="H62" s="7">
        <v>36.0</v>
      </c>
    </row>
    <row r="63" ht="15.75" customHeight="1">
      <c r="A63" s="6" t="s">
        <v>69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  <c r="G63" s="7">
        <v>1.0</v>
      </c>
      <c r="H63" s="7">
        <v>1.0</v>
      </c>
    </row>
    <row r="64" ht="15.75" customHeight="1">
      <c r="A64" s="6" t="s">
        <v>70</v>
      </c>
      <c r="B64" s="7">
        <v>4.0</v>
      </c>
      <c r="C64" s="7">
        <v>0.0</v>
      </c>
      <c r="D64" s="7">
        <v>4.0</v>
      </c>
      <c r="E64" s="7">
        <v>0.0</v>
      </c>
      <c r="F64" s="7">
        <v>0.0</v>
      </c>
      <c r="G64" s="7">
        <v>0.0</v>
      </c>
      <c r="H64" s="7">
        <v>4.0</v>
      </c>
    </row>
    <row r="65" ht="15.75" customHeight="1">
      <c r="A65" s="6" t="s">
        <v>71</v>
      </c>
      <c r="B65" s="7">
        <v>0.0</v>
      </c>
      <c r="C65" s="7">
        <v>2.0</v>
      </c>
      <c r="D65" s="7">
        <v>2.0</v>
      </c>
      <c r="E65" s="7">
        <v>8.0</v>
      </c>
      <c r="F65" s="7">
        <v>0.0</v>
      </c>
      <c r="G65" s="7">
        <v>0.0</v>
      </c>
      <c r="H65" s="7">
        <v>10.0</v>
      </c>
    </row>
    <row r="66" ht="15.75" customHeight="1">
      <c r="A66" s="6" t="s">
        <v>72</v>
      </c>
      <c r="B66" s="7">
        <v>0.0</v>
      </c>
      <c r="C66" s="7">
        <v>0.0</v>
      </c>
      <c r="D66" s="7">
        <v>0.0</v>
      </c>
      <c r="E66" s="7">
        <v>2.0</v>
      </c>
      <c r="F66" s="7">
        <v>0.0</v>
      </c>
      <c r="G66" s="7">
        <v>0.0</v>
      </c>
      <c r="H66" s="7">
        <v>2.0</v>
      </c>
    </row>
    <row r="67" ht="15.75" customHeight="1">
      <c r="A67" s="6" t="s">
        <v>73</v>
      </c>
      <c r="B67" s="7">
        <v>15.0</v>
      </c>
      <c r="C67" s="7">
        <v>2.0</v>
      </c>
      <c r="D67" s="7">
        <v>17.0</v>
      </c>
      <c r="E67" s="7">
        <v>93.0</v>
      </c>
      <c r="F67" s="7">
        <v>0.0</v>
      </c>
      <c r="G67" s="7">
        <v>4.0</v>
      </c>
      <c r="H67" s="7">
        <v>114.0</v>
      </c>
    </row>
    <row r="68" ht="15.75" customHeight="1">
      <c r="A68" s="6" t="s">
        <v>74</v>
      </c>
      <c r="B68" s="7">
        <v>0.0</v>
      </c>
      <c r="C68" s="7">
        <v>3.0</v>
      </c>
      <c r="D68" s="7">
        <v>3.0</v>
      </c>
      <c r="E68" s="7">
        <v>22.0</v>
      </c>
      <c r="F68" s="7">
        <v>0.0</v>
      </c>
      <c r="G68" s="7">
        <v>0.0</v>
      </c>
      <c r="H68" s="7">
        <v>25.0</v>
      </c>
    </row>
    <row r="69" ht="15.75" customHeight="1">
      <c r="A69" s="6" t="s">
        <v>75</v>
      </c>
      <c r="B69" s="7">
        <v>0.0</v>
      </c>
      <c r="C69" s="7">
        <v>3.0</v>
      </c>
      <c r="D69" s="7">
        <v>3.0</v>
      </c>
      <c r="E69" s="7">
        <v>12.0</v>
      </c>
      <c r="F69" s="7">
        <v>0.0</v>
      </c>
      <c r="G69" s="7">
        <v>0.0</v>
      </c>
      <c r="H69" s="7">
        <v>15.0</v>
      </c>
    </row>
    <row r="70" ht="15.75" customHeight="1">
      <c r="A70" s="6" t="s">
        <v>76</v>
      </c>
      <c r="B70" s="7">
        <v>0.0</v>
      </c>
      <c r="C70" s="7">
        <v>3.0</v>
      </c>
      <c r="D70" s="7">
        <v>3.0</v>
      </c>
      <c r="E70" s="7">
        <v>20.0</v>
      </c>
      <c r="F70" s="7">
        <v>0.0</v>
      </c>
      <c r="G70" s="7">
        <v>1.0</v>
      </c>
      <c r="H70" s="7">
        <v>57.0</v>
      </c>
    </row>
    <row r="71" ht="15.75" customHeight="1">
      <c r="A71" s="6" t="s">
        <v>77</v>
      </c>
      <c r="B71" s="7">
        <v>54.0</v>
      </c>
      <c r="C71" s="7">
        <v>14.0</v>
      </c>
      <c r="D71" s="7">
        <v>68.0</v>
      </c>
      <c r="E71" s="7">
        <v>149.0</v>
      </c>
      <c r="F71" s="7">
        <v>0.0</v>
      </c>
      <c r="G71" s="7">
        <v>0.0</v>
      </c>
      <c r="H71" s="7">
        <v>221.0</v>
      </c>
    </row>
    <row r="72" ht="15.75" customHeight="1">
      <c r="A72" s="6" t="s">
        <v>78</v>
      </c>
      <c r="B72" s="7">
        <v>0.0</v>
      </c>
      <c r="C72" s="7">
        <v>2.0</v>
      </c>
      <c r="D72" s="7">
        <v>2.0</v>
      </c>
      <c r="E72" s="7">
        <v>15.0</v>
      </c>
      <c r="F72" s="7">
        <v>0.0</v>
      </c>
      <c r="G72" s="7">
        <v>0.0</v>
      </c>
      <c r="H72" s="7">
        <v>17.0</v>
      </c>
    </row>
    <row r="73" ht="15.75" customHeight="1">
      <c r="A73" s="6" t="s">
        <v>79</v>
      </c>
      <c r="B73" s="7">
        <v>0.0</v>
      </c>
      <c r="C73" s="7">
        <v>0.0</v>
      </c>
      <c r="D73" s="7">
        <v>0.0</v>
      </c>
      <c r="E73" s="7">
        <v>2.0</v>
      </c>
      <c r="F73" s="7">
        <v>0.0</v>
      </c>
      <c r="G73" s="7">
        <v>0.0</v>
      </c>
      <c r="H73" s="7">
        <v>2.0</v>
      </c>
    </row>
    <row r="74" ht="15.75" customHeight="1">
      <c r="A74" s="6" t="s">
        <v>80</v>
      </c>
      <c r="B74" s="7">
        <v>2.0</v>
      </c>
      <c r="C74" s="7">
        <v>2.0</v>
      </c>
      <c r="D74" s="7">
        <v>4.0</v>
      </c>
      <c r="E74" s="7">
        <v>0.0</v>
      </c>
      <c r="F74" s="7">
        <v>0.0</v>
      </c>
      <c r="G74" s="7">
        <v>0.0</v>
      </c>
      <c r="H74" s="7">
        <v>4.0</v>
      </c>
    </row>
    <row r="75" ht="15.75" customHeight="1">
      <c r="A75" s="6" t="s">
        <v>81</v>
      </c>
      <c r="B75" s="7">
        <v>0.0</v>
      </c>
      <c r="C75" s="7">
        <v>0.0</v>
      </c>
      <c r="D75" s="7">
        <v>0.0</v>
      </c>
      <c r="E75" s="7">
        <v>0.0</v>
      </c>
      <c r="F75" s="7">
        <v>0.0</v>
      </c>
      <c r="G75" s="7">
        <v>0.0</v>
      </c>
      <c r="H75" s="7">
        <v>1.0</v>
      </c>
    </row>
    <row r="76" ht="15.75" customHeight="1">
      <c r="A76" s="6" t="s">
        <v>82</v>
      </c>
      <c r="B76" s="7">
        <v>1.0</v>
      </c>
      <c r="C76" s="7">
        <v>4.0</v>
      </c>
      <c r="D76" s="7">
        <v>5.0</v>
      </c>
      <c r="E76" s="7">
        <v>1.0</v>
      </c>
      <c r="F76" s="7">
        <v>0.0</v>
      </c>
      <c r="G76" s="7">
        <v>0.0</v>
      </c>
      <c r="H76" s="7">
        <v>6.0</v>
      </c>
    </row>
    <row r="77" ht="15.75" customHeight="1">
      <c r="A77" s="6" t="s">
        <v>83</v>
      </c>
      <c r="B77" s="7">
        <v>2.0</v>
      </c>
      <c r="C77" s="7">
        <v>0.0</v>
      </c>
      <c r="D77" s="7">
        <v>2.0</v>
      </c>
      <c r="E77" s="7">
        <v>0.0</v>
      </c>
      <c r="F77" s="7">
        <v>0.0</v>
      </c>
      <c r="G77" s="7">
        <v>0.0</v>
      </c>
      <c r="H77" s="7">
        <v>2.0</v>
      </c>
    </row>
    <row r="78" ht="15.75" customHeight="1">
      <c r="A78" s="6" t="s">
        <v>84</v>
      </c>
      <c r="B78" s="7">
        <v>16.0</v>
      </c>
      <c r="C78" s="7">
        <v>0.0</v>
      </c>
      <c r="D78" s="7">
        <v>16.0</v>
      </c>
      <c r="E78" s="7">
        <v>4.0</v>
      </c>
      <c r="F78" s="7">
        <v>0.0</v>
      </c>
      <c r="G78" s="7">
        <v>0.0</v>
      </c>
      <c r="H78" s="7">
        <v>20.0</v>
      </c>
    </row>
    <row r="79" ht="15.75" customHeight="1">
      <c r="A79" s="6" t="s">
        <v>85</v>
      </c>
      <c r="B79" s="7">
        <v>1.0</v>
      </c>
      <c r="C79" s="7">
        <v>0.0</v>
      </c>
      <c r="D79" s="7">
        <v>1.0</v>
      </c>
      <c r="E79" s="7">
        <v>34.0</v>
      </c>
      <c r="F79" s="7">
        <v>3.0</v>
      </c>
      <c r="G79" s="7">
        <v>0.0</v>
      </c>
      <c r="H79" s="7">
        <v>40.0</v>
      </c>
    </row>
    <row r="80" ht="15.75" customHeight="1">
      <c r="A80" s="6" t="s">
        <v>86</v>
      </c>
      <c r="B80" s="7">
        <v>0.0</v>
      </c>
      <c r="C80" s="7">
        <v>0.0</v>
      </c>
      <c r="D80" s="7">
        <v>0.0</v>
      </c>
      <c r="E80" s="7">
        <v>1.0</v>
      </c>
      <c r="F80" s="7">
        <v>0.0</v>
      </c>
      <c r="G80" s="7">
        <v>0.0</v>
      </c>
      <c r="H80" s="7">
        <v>1.0</v>
      </c>
    </row>
    <row r="81" ht="15.75" customHeight="1">
      <c r="A81" s="6" t="s">
        <v>87</v>
      </c>
      <c r="B81" s="7">
        <v>2.0</v>
      </c>
      <c r="C81" s="7">
        <v>3.0</v>
      </c>
      <c r="D81" s="7">
        <v>5.0</v>
      </c>
      <c r="E81" s="7">
        <v>27.0</v>
      </c>
      <c r="F81" s="7">
        <v>0.0</v>
      </c>
      <c r="G81" s="7">
        <v>0.0</v>
      </c>
      <c r="H81" s="7">
        <v>35.0</v>
      </c>
    </row>
    <row r="82" ht="15.75" customHeight="1">
      <c r="A82" s="6" t="s">
        <v>88</v>
      </c>
      <c r="B82" s="7">
        <v>0.0</v>
      </c>
      <c r="C82" s="7">
        <v>0.0</v>
      </c>
      <c r="D82" s="7">
        <v>0.0</v>
      </c>
      <c r="E82" s="7">
        <v>5.0</v>
      </c>
      <c r="F82" s="7">
        <v>0.0</v>
      </c>
      <c r="G82" s="7">
        <v>0.0</v>
      </c>
      <c r="H82" s="7">
        <v>5.0</v>
      </c>
    </row>
    <row r="83" ht="15.75" customHeight="1">
      <c r="A83" s="6" t="s">
        <v>89</v>
      </c>
      <c r="B83" s="7">
        <v>1.0</v>
      </c>
      <c r="C83" s="7">
        <v>0.0</v>
      </c>
      <c r="D83" s="7">
        <v>1.0</v>
      </c>
      <c r="E83" s="7">
        <v>9.0</v>
      </c>
      <c r="F83" s="7">
        <v>0.0</v>
      </c>
      <c r="G83" s="7">
        <v>0.0</v>
      </c>
      <c r="H83" s="7">
        <v>23.0</v>
      </c>
    </row>
    <row r="84" ht="15.75" customHeight="1">
      <c r="A84" s="6" t="s">
        <v>90</v>
      </c>
      <c r="B84" s="7">
        <v>3.0</v>
      </c>
      <c r="C84" s="7">
        <v>1.0</v>
      </c>
      <c r="D84" s="7">
        <v>4.0</v>
      </c>
      <c r="E84" s="7">
        <v>2.0</v>
      </c>
      <c r="F84" s="7">
        <v>0.0</v>
      </c>
      <c r="G84" s="7">
        <v>0.0</v>
      </c>
      <c r="H84" s="7">
        <v>6.0</v>
      </c>
    </row>
    <row r="85" ht="15.75" customHeight="1">
      <c r="A85" s="6" t="s">
        <v>91</v>
      </c>
      <c r="B85" s="7">
        <v>0.0</v>
      </c>
      <c r="C85" s="7">
        <v>0.0</v>
      </c>
      <c r="D85" s="7">
        <v>0.0</v>
      </c>
      <c r="E85" s="7">
        <v>16.0</v>
      </c>
      <c r="F85" s="7">
        <v>0.0</v>
      </c>
      <c r="G85" s="7">
        <v>0.0</v>
      </c>
      <c r="H85" s="7">
        <v>16.0</v>
      </c>
    </row>
    <row r="86" ht="15.75" customHeight="1">
      <c r="A86" s="6" t="s">
        <v>92</v>
      </c>
      <c r="B86" s="7">
        <v>2.0</v>
      </c>
      <c r="C86" s="7">
        <v>6.0</v>
      </c>
      <c r="D86" s="7">
        <v>8.0</v>
      </c>
      <c r="E86" s="7">
        <v>21.0</v>
      </c>
      <c r="F86" s="7">
        <v>1.0</v>
      </c>
      <c r="G86" s="7">
        <v>0.0</v>
      </c>
      <c r="H86" s="7">
        <v>30.0</v>
      </c>
    </row>
    <row r="87" ht="15.75" customHeight="1">
      <c r="A87" s="6" t="s">
        <v>93</v>
      </c>
      <c r="B87" s="7">
        <v>19.0</v>
      </c>
      <c r="C87" s="7">
        <v>5.0</v>
      </c>
      <c r="D87" s="7">
        <v>24.0</v>
      </c>
      <c r="E87" s="7">
        <v>220.0</v>
      </c>
      <c r="F87" s="7">
        <v>73.0</v>
      </c>
      <c r="G87" s="7">
        <v>1.0</v>
      </c>
      <c r="H87" s="7">
        <v>318.0</v>
      </c>
    </row>
    <row r="88" ht="15.75" customHeight="1">
      <c r="A88" s="6" t="s">
        <v>94</v>
      </c>
      <c r="B88" s="7">
        <v>22.0</v>
      </c>
      <c r="C88" s="7">
        <v>7.0</v>
      </c>
      <c r="D88" s="7">
        <v>29.0</v>
      </c>
      <c r="E88" s="7">
        <v>1897.0</v>
      </c>
      <c r="F88" s="7">
        <v>59.0</v>
      </c>
      <c r="G88" s="7">
        <v>0.0</v>
      </c>
      <c r="H88" s="7">
        <v>1985.0</v>
      </c>
    </row>
    <row r="89" ht="15.75" customHeight="1">
      <c r="A89" s="6" t="s">
        <v>95</v>
      </c>
      <c r="B89" s="7">
        <v>1.0</v>
      </c>
      <c r="C89" s="7">
        <v>1.0</v>
      </c>
      <c r="D89" s="7">
        <v>2.0</v>
      </c>
      <c r="E89" s="7">
        <v>15.0</v>
      </c>
      <c r="F89" s="7">
        <v>0.0</v>
      </c>
      <c r="G89" s="7">
        <v>0.0</v>
      </c>
      <c r="H89" s="7">
        <v>17.0</v>
      </c>
    </row>
    <row r="90" ht="15.75" customHeight="1">
      <c r="A90" s="6" t="s">
        <v>96</v>
      </c>
      <c r="B90" s="7">
        <v>4.0</v>
      </c>
      <c r="C90" s="7">
        <v>0.0</v>
      </c>
      <c r="D90" s="7">
        <v>4.0</v>
      </c>
      <c r="E90" s="7">
        <v>59.0</v>
      </c>
      <c r="F90" s="7">
        <v>1.0</v>
      </c>
      <c r="G90" s="7">
        <v>0.0</v>
      </c>
      <c r="H90" s="7">
        <v>65.0</v>
      </c>
    </row>
    <row r="91" ht="15.75" customHeight="1">
      <c r="A91" s="6" t="s">
        <v>97</v>
      </c>
      <c r="B91" s="7">
        <v>6.0</v>
      </c>
      <c r="C91" s="7">
        <v>6.0</v>
      </c>
      <c r="D91" s="7">
        <v>12.0</v>
      </c>
      <c r="E91" s="7">
        <v>9.0</v>
      </c>
      <c r="F91" s="7">
        <v>0.0</v>
      </c>
      <c r="G91" s="7">
        <v>0.0</v>
      </c>
      <c r="H91" s="7">
        <v>21.0</v>
      </c>
    </row>
    <row r="92" ht="15.75" customHeight="1">
      <c r="A92" s="6" t="s">
        <v>98</v>
      </c>
      <c r="B92" s="7">
        <v>0.0</v>
      </c>
      <c r="C92" s="7">
        <v>1.0</v>
      </c>
      <c r="D92" s="7">
        <v>1.0</v>
      </c>
      <c r="E92" s="7">
        <v>0.0</v>
      </c>
      <c r="F92" s="7">
        <v>0.0</v>
      </c>
      <c r="G92" s="7">
        <v>0.0</v>
      </c>
      <c r="H92" s="7">
        <v>1.0</v>
      </c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9" t="s">
        <v>10</v>
      </c>
      <c r="B94" s="10">
        <f t="shared" ref="B94:H94" si="1">SUM(B3:B92)</f>
        <v>396</v>
      </c>
      <c r="C94" s="10">
        <f t="shared" si="1"/>
        <v>196</v>
      </c>
      <c r="D94" s="10">
        <f t="shared" si="1"/>
        <v>592</v>
      </c>
      <c r="E94" s="10">
        <f t="shared" si="1"/>
        <v>5242</v>
      </c>
      <c r="F94" s="10">
        <f t="shared" si="1"/>
        <v>228</v>
      </c>
      <c r="G94" s="10">
        <f t="shared" si="1"/>
        <v>28</v>
      </c>
      <c r="H94" s="10">
        <f t="shared" si="1"/>
        <v>6297</v>
      </c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11" t="s">
        <v>99</v>
      </c>
    </row>
    <row r="97" ht="15.75" customHeight="1">
      <c r="A97" s="12" t="s">
        <v>100</v>
      </c>
    </row>
    <row r="98" ht="15.75" customHeight="1">
      <c r="A98" s="13" t="s">
        <v>101</v>
      </c>
    </row>
  </sheetData>
  <mergeCells count="6">
    <mergeCell ref="A1:H1"/>
    <mergeCell ref="A2:H2"/>
    <mergeCell ref="A3:H3"/>
    <mergeCell ref="A96:H96"/>
    <mergeCell ref="A97:H97"/>
    <mergeCell ref="A98:H98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cols>
    <col customWidth="1" min="1" max="2" width="18.13"/>
    <col customWidth="1" min="3" max="3" width="15.75"/>
    <col customWidth="1" min="4" max="4" width="22.0"/>
    <col customWidth="1" min="5" max="8" width="18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5" t="s">
        <v>102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>
      <c r="A5" s="6" t="s">
        <v>103</v>
      </c>
      <c r="B5" s="14">
        <v>35.0</v>
      </c>
      <c r="C5" s="14">
        <v>7.0</v>
      </c>
      <c r="D5" s="14">
        <v>42.0</v>
      </c>
      <c r="E5" s="8">
        <v>2524.0</v>
      </c>
      <c r="F5" s="14">
        <v>66.0</v>
      </c>
      <c r="G5" s="14">
        <v>0.0</v>
      </c>
      <c r="H5" s="8">
        <v>2693.0</v>
      </c>
    </row>
    <row r="6">
      <c r="A6" s="6" t="s">
        <v>104</v>
      </c>
      <c r="B6" s="14">
        <v>49.0</v>
      </c>
      <c r="C6" s="14">
        <v>33.0</v>
      </c>
      <c r="D6" s="14">
        <v>82.0</v>
      </c>
      <c r="E6" s="14">
        <v>890.0</v>
      </c>
      <c r="F6" s="14">
        <v>32.0</v>
      </c>
      <c r="G6" s="14">
        <v>3.0</v>
      </c>
      <c r="H6" s="14">
        <v>1023.0</v>
      </c>
    </row>
    <row r="7">
      <c r="A7" s="6" t="s">
        <v>105</v>
      </c>
      <c r="B7" s="14">
        <v>67.0</v>
      </c>
      <c r="C7" s="14">
        <v>17.0</v>
      </c>
      <c r="D7" s="14">
        <v>84.0</v>
      </c>
      <c r="E7" s="14">
        <v>323.0</v>
      </c>
      <c r="F7" s="14">
        <v>80.0</v>
      </c>
      <c r="G7" s="14">
        <v>2.0</v>
      </c>
      <c r="H7" s="14">
        <v>493.0</v>
      </c>
    </row>
    <row r="8">
      <c r="A8" s="6" t="s">
        <v>106</v>
      </c>
      <c r="B8" s="14">
        <v>69.0</v>
      </c>
      <c r="C8" s="14">
        <v>19.0</v>
      </c>
      <c r="D8" s="14">
        <v>88.0</v>
      </c>
      <c r="E8" s="14">
        <v>281.0</v>
      </c>
      <c r="F8" s="14">
        <v>0.0</v>
      </c>
      <c r="G8" s="14">
        <v>5.0</v>
      </c>
      <c r="H8" s="14">
        <v>411.0</v>
      </c>
    </row>
    <row r="9">
      <c r="A9" s="6" t="s">
        <v>107</v>
      </c>
      <c r="B9" s="14">
        <v>15.0</v>
      </c>
      <c r="C9" s="14">
        <v>4.0</v>
      </c>
      <c r="D9" s="14">
        <v>19.0</v>
      </c>
      <c r="E9" s="14">
        <v>167.0</v>
      </c>
      <c r="F9" s="14">
        <v>15.0</v>
      </c>
      <c r="G9" s="14">
        <v>14.0</v>
      </c>
      <c r="H9" s="14">
        <v>219.0</v>
      </c>
    </row>
    <row r="10">
      <c r="A10" s="6" t="s">
        <v>108</v>
      </c>
      <c r="B10" s="14">
        <v>0.0</v>
      </c>
      <c r="C10" s="14">
        <v>0.0</v>
      </c>
      <c r="D10" s="14">
        <v>0.0</v>
      </c>
      <c r="E10" s="14">
        <v>32.0</v>
      </c>
      <c r="F10" s="14">
        <v>0.0</v>
      </c>
      <c r="G10" s="14">
        <v>0.0</v>
      </c>
      <c r="H10" s="14">
        <v>36.0</v>
      </c>
    </row>
    <row r="11">
      <c r="A11" s="6" t="s">
        <v>109</v>
      </c>
      <c r="B11" s="14">
        <v>41.0</v>
      </c>
      <c r="C11" s="14">
        <v>24.0</v>
      </c>
      <c r="D11" s="14">
        <v>65.0</v>
      </c>
      <c r="E11" s="14">
        <v>147.0</v>
      </c>
      <c r="F11" s="14">
        <v>3.0</v>
      </c>
      <c r="G11" s="14">
        <v>3.0</v>
      </c>
      <c r="H11" s="14">
        <v>222.0</v>
      </c>
    </row>
    <row r="12">
      <c r="A12" s="6" t="s">
        <v>110</v>
      </c>
      <c r="B12" s="14">
        <v>27.0</v>
      </c>
      <c r="C12" s="14">
        <v>24.0</v>
      </c>
      <c r="D12" s="14">
        <v>51.0</v>
      </c>
      <c r="E12" s="14">
        <v>128.0</v>
      </c>
      <c r="F12" s="14">
        <v>4.0</v>
      </c>
      <c r="G12" s="14">
        <v>1.0</v>
      </c>
      <c r="H12" s="14">
        <v>187.0</v>
      </c>
    </row>
    <row r="13">
      <c r="A13" s="6" t="s">
        <v>111</v>
      </c>
      <c r="B13" s="14">
        <v>7.0</v>
      </c>
      <c r="C13" s="14">
        <v>9.0</v>
      </c>
      <c r="D13" s="14">
        <v>16.0</v>
      </c>
      <c r="E13" s="14">
        <v>102.0</v>
      </c>
      <c r="F13" s="14">
        <v>1.0</v>
      </c>
      <c r="G13" s="14">
        <v>0.0</v>
      </c>
      <c r="H13" s="14">
        <v>121.0</v>
      </c>
    </row>
    <row r="14">
      <c r="A14" s="6" t="s">
        <v>112</v>
      </c>
      <c r="B14" s="8">
        <v>5.0</v>
      </c>
      <c r="C14" s="14">
        <v>8.0</v>
      </c>
      <c r="D14" s="8">
        <v>13.0</v>
      </c>
      <c r="E14" s="14">
        <v>113.0</v>
      </c>
      <c r="F14" s="14">
        <v>0.0</v>
      </c>
      <c r="G14" s="14">
        <v>0.0</v>
      </c>
      <c r="H14" s="8">
        <v>127.0</v>
      </c>
    </row>
    <row r="15">
      <c r="A15" s="6" t="s">
        <v>113</v>
      </c>
      <c r="B15" s="14">
        <v>6.0</v>
      </c>
      <c r="C15" s="14">
        <v>2.0</v>
      </c>
      <c r="D15" s="14">
        <v>8.0</v>
      </c>
      <c r="E15" s="14">
        <v>56.0</v>
      </c>
      <c r="F15" s="14">
        <v>0.0</v>
      </c>
      <c r="G15" s="14">
        <v>0.0</v>
      </c>
      <c r="H15" s="14">
        <v>80.0</v>
      </c>
    </row>
    <row r="16">
      <c r="A16" s="6" t="s">
        <v>114</v>
      </c>
      <c r="B16" s="14">
        <v>8.0</v>
      </c>
      <c r="C16" s="14">
        <v>6.0</v>
      </c>
      <c r="D16" s="14">
        <v>14.0</v>
      </c>
      <c r="E16" s="14">
        <v>126.0</v>
      </c>
      <c r="F16" s="14">
        <v>2.0</v>
      </c>
      <c r="G16" s="14">
        <v>0.0</v>
      </c>
      <c r="H16" s="14">
        <v>149.0</v>
      </c>
    </row>
    <row r="17">
      <c r="A17" s="6" t="s">
        <v>115</v>
      </c>
      <c r="B17" s="14">
        <v>37.0</v>
      </c>
      <c r="C17" s="14">
        <v>41.0</v>
      </c>
      <c r="D17" s="14">
        <v>78.0</v>
      </c>
      <c r="E17" s="14">
        <v>245.0</v>
      </c>
      <c r="F17" s="14">
        <v>22.0</v>
      </c>
      <c r="G17" s="14">
        <v>0.0</v>
      </c>
      <c r="H17" s="14">
        <v>347.0</v>
      </c>
    </row>
    <row r="18">
      <c r="A18" s="6" t="s">
        <v>116</v>
      </c>
      <c r="B18" s="14">
        <v>26.0</v>
      </c>
      <c r="C18" s="14">
        <v>2.0</v>
      </c>
      <c r="D18" s="14">
        <v>28.0</v>
      </c>
      <c r="E18" s="14">
        <v>108.0</v>
      </c>
      <c r="F18" s="14">
        <v>3.0</v>
      </c>
      <c r="G18" s="14">
        <v>0.0</v>
      </c>
      <c r="H18" s="14">
        <v>185.0</v>
      </c>
    </row>
    <row r="19">
      <c r="A19" s="6" t="s">
        <v>117</v>
      </c>
      <c r="B19" s="14">
        <v>4.0</v>
      </c>
      <c r="C19" s="14">
        <v>0.0</v>
      </c>
      <c r="D19" s="14">
        <v>4.0</v>
      </c>
      <c r="E19" s="14">
        <v>0.0</v>
      </c>
      <c r="F19" s="14">
        <v>0.0</v>
      </c>
      <c r="G19" s="14">
        <v>0.0</v>
      </c>
      <c r="H19" s="14">
        <v>4.0</v>
      </c>
    </row>
    <row r="20">
      <c r="A20" s="5" t="s">
        <v>118</v>
      </c>
      <c r="B20" s="4" t="s">
        <v>4</v>
      </c>
      <c r="C20" s="4" t="s">
        <v>5</v>
      </c>
      <c r="D20" s="5" t="s">
        <v>6</v>
      </c>
      <c r="E20" s="4" t="s">
        <v>7</v>
      </c>
      <c r="F20" s="4" t="s">
        <v>8</v>
      </c>
      <c r="G20" s="5" t="s">
        <v>9</v>
      </c>
      <c r="H20" s="5" t="s">
        <v>10</v>
      </c>
    </row>
    <row r="21">
      <c r="A21" s="15" t="s">
        <v>119</v>
      </c>
      <c r="B21" s="16">
        <f t="shared" ref="B21:H21" si="1">SUM(B5:B6)</f>
        <v>84</v>
      </c>
      <c r="C21" s="16">
        <f t="shared" si="1"/>
        <v>40</v>
      </c>
      <c r="D21" s="16">
        <f t="shared" si="1"/>
        <v>124</v>
      </c>
      <c r="E21" s="16">
        <f t="shared" si="1"/>
        <v>3414</v>
      </c>
      <c r="F21" s="16">
        <f t="shared" si="1"/>
        <v>98</v>
      </c>
      <c r="G21" s="16">
        <f t="shared" si="1"/>
        <v>3</v>
      </c>
      <c r="H21" s="16">
        <f t="shared" si="1"/>
        <v>3716</v>
      </c>
    </row>
    <row r="22">
      <c r="A22" s="15" t="s">
        <v>120</v>
      </c>
      <c r="B22" s="16">
        <f t="shared" ref="B22:H22" si="2">SUM(B7:B10)</f>
        <v>151</v>
      </c>
      <c r="C22" s="16">
        <f t="shared" si="2"/>
        <v>40</v>
      </c>
      <c r="D22" s="16">
        <f t="shared" si="2"/>
        <v>191</v>
      </c>
      <c r="E22" s="16">
        <f t="shared" si="2"/>
        <v>803</v>
      </c>
      <c r="F22" s="16">
        <f t="shared" si="2"/>
        <v>95</v>
      </c>
      <c r="G22" s="16">
        <f t="shared" si="2"/>
        <v>21</v>
      </c>
      <c r="H22" s="16">
        <f t="shared" si="2"/>
        <v>1159</v>
      </c>
    </row>
    <row r="23">
      <c r="A23" s="15" t="s">
        <v>121</v>
      </c>
      <c r="B23" s="16">
        <f t="shared" ref="B23:H23" si="3">SUM(B11:B15)</f>
        <v>86</v>
      </c>
      <c r="C23" s="16">
        <f t="shared" si="3"/>
        <v>67</v>
      </c>
      <c r="D23" s="16">
        <f t="shared" si="3"/>
        <v>153</v>
      </c>
      <c r="E23" s="16">
        <f t="shared" si="3"/>
        <v>546</v>
      </c>
      <c r="F23" s="16">
        <f t="shared" si="3"/>
        <v>8</v>
      </c>
      <c r="G23" s="16">
        <f t="shared" si="3"/>
        <v>4</v>
      </c>
      <c r="H23" s="16">
        <f t="shared" si="3"/>
        <v>737</v>
      </c>
    </row>
    <row r="24">
      <c r="A24" s="15" t="s">
        <v>122</v>
      </c>
      <c r="B24" s="16">
        <f t="shared" ref="B24:H24" si="4">SUM(B16:B17)</f>
        <v>45</v>
      </c>
      <c r="C24" s="16">
        <f t="shared" si="4"/>
        <v>47</v>
      </c>
      <c r="D24" s="16">
        <f t="shared" si="4"/>
        <v>92</v>
      </c>
      <c r="E24" s="16">
        <f t="shared" si="4"/>
        <v>371</v>
      </c>
      <c r="F24" s="16">
        <f t="shared" si="4"/>
        <v>24</v>
      </c>
      <c r="G24" s="16">
        <f t="shared" si="4"/>
        <v>0</v>
      </c>
      <c r="H24" s="16">
        <f t="shared" si="4"/>
        <v>496</v>
      </c>
    </row>
    <row r="25">
      <c r="A25" s="15" t="s">
        <v>123</v>
      </c>
      <c r="B25" s="16">
        <f t="shared" ref="B25:H25" si="5">SUM(B18:B19)</f>
        <v>30</v>
      </c>
      <c r="C25" s="16">
        <f t="shared" si="5"/>
        <v>2</v>
      </c>
      <c r="D25" s="16">
        <f t="shared" si="5"/>
        <v>32</v>
      </c>
      <c r="E25" s="16">
        <f t="shared" si="5"/>
        <v>108</v>
      </c>
      <c r="F25" s="16">
        <f t="shared" si="5"/>
        <v>3</v>
      </c>
      <c r="G25" s="16">
        <f t="shared" si="5"/>
        <v>0</v>
      </c>
      <c r="H25" s="16">
        <f t="shared" si="5"/>
        <v>189</v>
      </c>
    </row>
    <row r="26">
      <c r="A26" s="17"/>
      <c r="B26" s="17"/>
      <c r="C26" s="17"/>
      <c r="D26" s="17"/>
      <c r="E26" s="17"/>
      <c r="F26" s="17"/>
      <c r="G26" s="17"/>
      <c r="H26" s="17"/>
    </row>
    <row r="27">
      <c r="A27" s="18" t="s">
        <v>124</v>
      </c>
      <c r="B27" s="19">
        <f t="shared" ref="B27:H27" si="6">SUM(B24,B21,B23,B25,B22)</f>
        <v>396</v>
      </c>
      <c r="C27" s="19">
        <f t="shared" si="6"/>
        <v>196</v>
      </c>
      <c r="D27" s="19">
        <f t="shared" si="6"/>
        <v>592</v>
      </c>
      <c r="E27" s="19">
        <f t="shared" si="6"/>
        <v>5242</v>
      </c>
      <c r="F27" s="19">
        <f t="shared" si="6"/>
        <v>228</v>
      </c>
      <c r="G27" s="19">
        <f t="shared" si="6"/>
        <v>28</v>
      </c>
      <c r="H27" s="19">
        <f t="shared" si="6"/>
        <v>6297</v>
      </c>
    </row>
    <row r="28">
      <c r="A28" s="6"/>
      <c r="B28" s="6"/>
      <c r="C28" s="6"/>
      <c r="D28" s="6"/>
      <c r="E28" s="6"/>
      <c r="F28" s="6"/>
      <c r="G28" s="6"/>
      <c r="H28" s="6"/>
    </row>
    <row r="29">
      <c r="A29" s="11" t="s">
        <v>99</v>
      </c>
    </row>
    <row r="30">
      <c r="A30" s="20" t="s">
        <v>100</v>
      </c>
    </row>
    <row r="31">
      <c r="A31" s="21" t="s">
        <v>101</v>
      </c>
    </row>
  </sheetData>
  <mergeCells count="6">
    <mergeCell ref="A1:H1"/>
    <mergeCell ref="A2:H2"/>
    <mergeCell ref="A3:H3"/>
    <mergeCell ref="A29:H29"/>
    <mergeCell ref="A30:H30"/>
    <mergeCell ref="A31:H31"/>
  </mergeCells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sheetData>
    <row r="1">
      <c r="A1" s="22" t="s">
        <v>125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>
      <c r="A5" s="6" t="s">
        <v>94</v>
      </c>
      <c r="B5" s="7">
        <v>25.0</v>
      </c>
      <c r="C5" s="7">
        <v>8.0</v>
      </c>
      <c r="D5" s="7">
        <v>33.0</v>
      </c>
      <c r="E5" s="7">
        <v>1639.0</v>
      </c>
      <c r="F5" s="7">
        <v>53.0</v>
      </c>
      <c r="G5" s="7">
        <v>0.0</v>
      </c>
      <c r="H5" s="7">
        <v>1725.0</v>
      </c>
    </row>
    <row r="6">
      <c r="A6" s="6" t="s">
        <v>23</v>
      </c>
      <c r="B6" s="7">
        <v>16.0</v>
      </c>
      <c r="C6" s="7">
        <v>0.0</v>
      </c>
      <c r="D6" s="7">
        <v>16.0</v>
      </c>
      <c r="E6" s="7">
        <v>970.0</v>
      </c>
      <c r="F6" s="7">
        <v>5.0</v>
      </c>
      <c r="G6" s="7">
        <v>0.0</v>
      </c>
      <c r="H6" s="7">
        <v>1036.0</v>
      </c>
    </row>
    <row r="7">
      <c r="A7" s="6" t="s">
        <v>93</v>
      </c>
      <c r="B7" s="7">
        <v>19.0</v>
      </c>
      <c r="C7" s="7">
        <v>3.0</v>
      </c>
      <c r="D7" s="7">
        <v>22.0</v>
      </c>
      <c r="E7" s="7">
        <v>211.0</v>
      </c>
      <c r="F7" s="7">
        <v>73.0</v>
      </c>
      <c r="G7" s="7">
        <v>1.0</v>
      </c>
      <c r="H7" s="7">
        <v>307.0</v>
      </c>
    </row>
    <row r="8">
      <c r="A8" s="6" t="s">
        <v>27</v>
      </c>
      <c r="B8" s="7">
        <v>0.0</v>
      </c>
      <c r="C8" s="7">
        <v>0.0</v>
      </c>
      <c r="D8" s="7">
        <v>0.0</v>
      </c>
      <c r="E8" s="7">
        <v>266.0</v>
      </c>
      <c r="F8" s="7">
        <v>2.0</v>
      </c>
      <c r="G8" s="7">
        <v>0.0</v>
      </c>
      <c r="H8" s="7">
        <v>269.0</v>
      </c>
    </row>
    <row r="9">
      <c r="A9" s="6" t="s">
        <v>77</v>
      </c>
      <c r="B9" s="7">
        <v>35.0</v>
      </c>
      <c r="C9" s="7">
        <v>12.0</v>
      </c>
      <c r="D9" s="7">
        <v>47.0</v>
      </c>
      <c r="E9" s="7">
        <v>213.0</v>
      </c>
      <c r="F9" s="7">
        <v>0.0</v>
      </c>
      <c r="G9" s="7">
        <v>0.0</v>
      </c>
      <c r="H9" s="7">
        <v>269.0</v>
      </c>
    </row>
    <row r="10">
      <c r="A10" s="6" t="s">
        <v>65</v>
      </c>
      <c r="B10" s="7">
        <v>3.0</v>
      </c>
      <c r="C10" s="7">
        <v>31.0</v>
      </c>
      <c r="D10" s="7">
        <v>34.0</v>
      </c>
      <c r="E10" s="7">
        <v>200.0</v>
      </c>
      <c r="F10" s="7">
        <v>21.0</v>
      </c>
      <c r="G10" s="7">
        <v>0.0</v>
      </c>
      <c r="H10" s="7">
        <v>256.0</v>
      </c>
    </row>
    <row r="11">
      <c r="A11" s="6" t="s">
        <v>13</v>
      </c>
      <c r="B11" s="7">
        <v>0.0</v>
      </c>
      <c r="C11" s="7">
        <v>0.0</v>
      </c>
      <c r="D11" s="7">
        <v>0.0</v>
      </c>
      <c r="E11" s="7">
        <v>200.0</v>
      </c>
      <c r="F11" s="7">
        <v>2.0</v>
      </c>
      <c r="G11" s="7">
        <v>0.0</v>
      </c>
      <c r="H11" s="7">
        <v>202.0</v>
      </c>
    </row>
    <row r="12">
      <c r="A12" s="6" t="s">
        <v>57</v>
      </c>
      <c r="B12" s="7">
        <v>9.0</v>
      </c>
      <c r="C12" s="7">
        <v>9.0</v>
      </c>
      <c r="D12" s="7">
        <v>18.0</v>
      </c>
      <c r="E12" s="7">
        <v>163.0</v>
      </c>
      <c r="F12" s="7">
        <v>7.0</v>
      </c>
      <c r="G12" s="7">
        <v>0.0</v>
      </c>
      <c r="H12" s="7">
        <v>196.0</v>
      </c>
    </row>
    <row r="13">
      <c r="A13" s="6" t="s">
        <v>26</v>
      </c>
      <c r="B13" s="8">
        <v>8.0</v>
      </c>
      <c r="C13" s="7">
        <v>3.0</v>
      </c>
      <c r="D13" s="8">
        <v>11.0</v>
      </c>
      <c r="E13" s="7">
        <v>162.0</v>
      </c>
      <c r="F13" s="7">
        <v>0.0</v>
      </c>
      <c r="G13" s="7">
        <v>0.0</v>
      </c>
      <c r="H13" s="8">
        <v>175.0</v>
      </c>
    </row>
    <row r="14">
      <c r="A14" s="6" t="s">
        <v>20</v>
      </c>
      <c r="B14" s="7">
        <v>14.0</v>
      </c>
      <c r="C14" s="7">
        <v>9.0</v>
      </c>
      <c r="D14" s="7">
        <v>23.0</v>
      </c>
      <c r="E14" s="7">
        <v>111.0</v>
      </c>
      <c r="F14" s="7">
        <v>12.0</v>
      </c>
      <c r="G14" s="7">
        <v>1.0</v>
      </c>
      <c r="H14" s="7">
        <v>149.0</v>
      </c>
    </row>
    <row r="15">
      <c r="A15" s="6" t="s">
        <v>66</v>
      </c>
      <c r="B15" s="7">
        <v>31.0</v>
      </c>
      <c r="C15" s="7">
        <v>12.0</v>
      </c>
      <c r="D15" s="7">
        <v>43.0</v>
      </c>
      <c r="E15" s="7">
        <v>91.0</v>
      </c>
      <c r="F15" s="7">
        <v>4.0</v>
      </c>
      <c r="G15" s="7">
        <v>0.0</v>
      </c>
      <c r="H15" s="7">
        <v>139.0</v>
      </c>
    </row>
    <row r="16">
      <c r="A16" s="6" t="s">
        <v>63</v>
      </c>
      <c r="B16" s="7">
        <v>12.0</v>
      </c>
      <c r="C16" s="7">
        <v>3.0</v>
      </c>
      <c r="D16" s="7">
        <v>15.0</v>
      </c>
      <c r="E16" s="7">
        <v>100.0</v>
      </c>
      <c r="F16" s="7">
        <v>11.0</v>
      </c>
      <c r="G16" s="7">
        <v>9.0</v>
      </c>
      <c r="H16" s="7">
        <v>135.0</v>
      </c>
    </row>
    <row r="17">
      <c r="A17" s="6" t="s">
        <v>96</v>
      </c>
      <c r="B17" s="7">
        <v>0.0</v>
      </c>
      <c r="C17" s="7">
        <v>0.0</v>
      </c>
      <c r="D17" s="7">
        <v>0.0</v>
      </c>
      <c r="E17" s="7">
        <v>131.0</v>
      </c>
      <c r="F17" s="7">
        <v>0.0</v>
      </c>
      <c r="G17" s="7">
        <v>0.0</v>
      </c>
      <c r="H17" s="7">
        <v>132.0</v>
      </c>
    </row>
    <row r="18">
      <c r="A18" s="6" t="s">
        <v>14</v>
      </c>
      <c r="B18" s="7">
        <v>22.0</v>
      </c>
      <c r="C18" s="7">
        <v>0.0</v>
      </c>
      <c r="D18" s="7">
        <v>22.0</v>
      </c>
      <c r="E18" s="7">
        <v>34.0</v>
      </c>
      <c r="F18" s="7">
        <v>2.0</v>
      </c>
      <c r="G18" s="7">
        <v>0.0</v>
      </c>
      <c r="H18" s="7">
        <v>90.0</v>
      </c>
    </row>
    <row r="19">
      <c r="A19" s="6" t="s">
        <v>32</v>
      </c>
      <c r="B19" s="7">
        <v>1.0</v>
      </c>
      <c r="C19" s="7">
        <v>0.0</v>
      </c>
      <c r="D19" s="7">
        <v>1.0</v>
      </c>
      <c r="E19" s="7">
        <v>83.0</v>
      </c>
      <c r="F19" s="7">
        <v>5.0</v>
      </c>
      <c r="G19" s="7">
        <v>0.0</v>
      </c>
      <c r="H19" s="7">
        <v>89.0</v>
      </c>
    </row>
    <row r="20">
      <c r="A20" s="6" t="s">
        <v>44</v>
      </c>
      <c r="B20" s="7">
        <v>2.0</v>
      </c>
      <c r="C20" s="7">
        <v>5.0</v>
      </c>
      <c r="D20" s="7">
        <v>7.0</v>
      </c>
      <c r="E20" s="7">
        <v>70.0</v>
      </c>
      <c r="F20" s="7">
        <v>0.0</v>
      </c>
      <c r="G20" s="7">
        <v>1.0</v>
      </c>
      <c r="H20" s="7">
        <v>80.0</v>
      </c>
    </row>
    <row r="21">
      <c r="A21" s="6" t="s">
        <v>12</v>
      </c>
      <c r="B21" s="7">
        <v>4.0</v>
      </c>
      <c r="C21" s="7">
        <v>4.0</v>
      </c>
      <c r="D21" s="7">
        <v>8.0</v>
      </c>
      <c r="E21" s="7">
        <v>65.0</v>
      </c>
      <c r="F21" s="7">
        <v>0.0</v>
      </c>
      <c r="G21" s="7">
        <v>0.0</v>
      </c>
      <c r="H21" s="7">
        <v>73.0</v>
      </c>
    </row>
    <row r="22">
      <c r="A22" s="6" t="s">
        <v>33</v>
      </c>
      <c r="B22" s="7">
        <v>1.0</v>
      </c>
      <c r="C22" s="7">
        <v>1.0</v>
      </c>
      <c r="D22" s="7">
        <v>2.0</v>
      </c>
      <c r="E22" s="7">
        <v>64.0</v>
      </c>
      <c r="F22" s="7">
        <v>1.0</v>
      </c>
      <c r="G22" s="7">
        <v>0.0</v>
      </c>
      <c r="H22" s="7">
        <v>72.0</v>
      </c>
    </row>
    <row r="23">
      <c r="A23" s="6" t="s">
        <v>45</v>
      </c>
      <c r="B23" s="7">
        <v>4.0</v>
      </c>
      <c r="C23" s="7">
        <v>6.0</v>
      </c>
      <c r="D23" s="7">
        <v>10.0</v>
      </c>
      <c r="E23" s="7">
        <v>45.0</v>
      </c>
      <c r="F23" s="7">
        <v>1.0</v>
      </c>
      <c r="G23" s="7">
        <v>0.0</v>
      </c>
      <c r="H23" s="7">
        <v>56.0</v>
      </c>
    </row>
    <row r="24">
      <c r="A24" s="6" t="s">
        <v>43</v>
      </c>
      <c r="B24" s="7">
        <v>9.0</v>
      </c>
      <c r="C24" s="7">
        <v>5.0</v>
      </c>
      <c r="D24" s="7">
        <v>14.0</v>
      </c>
      <c r="E24" s="7">
        <v>35.0</v>
      </c>
      <c r="F24" s="7">
        <v>0.0</v>
      </c>
      <c r="G24" s="7">
        <v>2.0</v>
      </c>
      <c r="H24" s="7">
        <v>51.0</v>
      </c>
    </row>
    <row r="25">
      <c r="A25" s="6" t="s">
        <v>54</v>
      </c>
      <c r="B25" s="7">
        <v>2.0</v>
      </c>
      <c r="C25" s="7">
        <v>4.0</v>
      </c>
      <c r="D25" s="7">
        <v>6.0</v>
      </c>
      <c r="E25" s="7">
        <v>40.0</v>
      </c>
      <c r="F25" s="7">
        <v>4.0</v>
      </c>
      <c r="G25" s="7">
        <v>0.0</v>
      </c>
      <c r="H25" s="7">
        <v>51.0</v>
      </c>
    </row>
    <row r="26">
      <c r="A26" s="6" t="s">
        <v>51</v>
      </c>
      <c r="B26" s="7">
        <v>4.0</v>
      </c>
      <c r="C26" s="7">
        <v>1.0</v>
      </c>
      <c r="D26" s="7">
        <v>5.0</v>
      </c>
      <c r="E26" s="7">
        <v>35.0</v>
      </c>
      <c r="F26" s="7">
        <v>0.0</v>
      </c>
      <c r="G26" s="7">
        <v>0.0</v>
      </c>
      <c r="H26" s="7">
        <v>44.0</v>
      </c>
    </row>
    <row r="27">
      <c r="A27" s="6" t="s">
        <v>55</v>
      </c>
      <c r="B27" s="7">
        <v>6.0</v>
      </c>
      <c r="C27" s="7">
        <v>3.0</v>
      </c>
      <c r="D27" s="7">
        <v>9.0</v>
      </c>
      <c r="E27" s="7">
        <v>33.0</v>
      </c>
      <c r="F27" s="7">
        <v>0.0</v>
      </c>
      <c r="G27" s="7">
        <v>0.0</v>
      </c>
      <c r="H27" s="7">
        <v>44.0</v>
      </c>
    </row>
    <row r="28">
      <c r="A28" s="6" t="s">
        <v>85</v>
      </c>
      <c r="B28" s="7">
        <v>0.0</v>
      </c>
      <c r="C28" s="7">
        <v>0.0</v>
      </c>
      <c r="D28" s="7">
        <v>0.0</v>
      </c>
      <c r="E28" s="7">
        <v>39.0</v>
      </c>
      <c r="F28" s="7">
        <v>3.0</v>
      </c>
      <c r="G28" s="7">
        <v>0.0</v>
      </c>
      <c r="H28" s="7">
        <v>44.0</v>
      </c>
    </row>
    <row r="29">
      <c r="A29" s="6" t="s">
        <v>11</v>
      </c>
      <c r="B29" s="7">
        <v>3.0</v>
      </c>
      <c r="C29" s="7">
        <v>1.0</v>
      </c>
      <c r="D29" s="7">
        <v>4.0</v>
      </c>
      <c r="E29" s="7">
        <v>36.0</v>
      </c>
      <c r="F29" s="7">
        <v>0.0</v>
      </c>
      <c r="G29" s="7">
        <v>0.0</v>
      </c>
      <c r="H29" s="7">
        <v>42.0</v>
      </c>
    </row>
    <row r="30">
      <c r="A30" s="6" t="s">
        <v>67</v>
      </c>
      <c r="B30" s="7">
        <v>3.0</v>
      </c>
      <c r="C30" s="7">
        <v>1.0</v>
      </c>
      <c r="D30" s="7">
        <v>4.0</v>
      </c>
      <c r="E30" s="7">
        <v>35.0</v>
      </c>
      <c r="F30" s="7">
        <v>0.0</v>
      </c>
      <c r="G30" s="7">
        <v>0.0</v>
      </c>
      <c r="H30" s="7">
        <v>40.0</v>
      </c>
    </row>
    <row r="31">
      <c r="A31" s="6" t="s">
        <v>92</v>
      </c>
      <c r="B31" s="7">
        <v>1.0</v>
      </c>
      <c r="C31" s="7">
        <v>5.0</v>
      </c>
      <c r="D31" s="7">
        <v>6.0</v>
      </c>
      <c r="E31" s="7">
        <v>33.0</v>
      </c>
      <c r="F31" s="7">
        <v>0.0</v>
      </c>
      <c r="G31" s="7">
        <v>0.0</v>
      </c>
      <c r="H31" s="7">
        <v>40.0</v>
      </c>
    </row>
    <row r="32">
      <c r="A32" s="6" t="s">
        <v>76</v>
      </c>
      <c r="B32" s="7">
        <v>0.0</v>
      </c>
      <c r="C32" s="7">
        <v>0.0</v>
      </c>
      <c r="D32" s="7">
        <v>0.0</v>
      </c>
      <c r="E32" s="7">
        <v>12.0</v>
      </c>
      <c r="F32" s="7">
        <v>0.0</v>
      </c>
      <c r="G32" s="7">
        <v>1.0</v>
      </c>
      <c r="H32" s="7">
        <v>38.0</v>
      </c>
    </row>
    <row r="33">
      <c r="A33" s="6" t="s">
        <v>73</v>
      </c>
      <c r="B33" s="7">
        <v>8.0</v>
      </c>
      <c r="C33" s="7">
        <v>1.0</v>
      </c>
      <c r="D33" s="7">
        <v>9.0</v>
      </c>
      <c r="E33" s="7">
        <v>25.0</v>
      </c>
      <c r="F33" s="7">
        <v>0.0</v>
      </c>
      <c r="G33" s="7">
        <v>2.0</v>
      </c>
      <c r="H33" s="7">
        <v>36.0</v>
      </c>
    </row>
    <row r="34">
      <c r="A34" s="6" t="s">
        <v>68</v>
      </c>
      <c r="B34" s="7">
        <v>1.0</v>
      </c>
      <c r="C34" s="7">
        <v>1.0</v>
      </c>
      <c r="D34" s="7">
        <v>2.0</v>
      </c>
      <c r="E34" s="7">
        <v>25.0</v>
      </c>
      <c r="F34" s="7">
        <v>1.0</v>
      </c>
      <c r="G34" s="7">
        <v>0.0</v>
      </c>
      <c r="H34" s="7">
        <v>28.0</v>
      </c>
    </row>
    <row r="35">
      <c r="A35" s="6" t="s">
        <v>53</v>
      </c>
      <c r="B35" s="7">
        <v>4.0</v>
      </c>
      <c r="C35" s="7">
        <v>1.0</v>
      </c>
      <c r="D35" s="7">
        <v>5.0</v>
      </c>
      <c r="E35" s="7">
        <v>20.0</v>
      </c>
      <c r="F35" s="7">
        <v>0.0</v>
      </c>
      <c r="G35" s="7">
        <v>0.0</v>
      </c>
      <c r="H35" s="7">
        <v>27.0</v>
      </c>
    </row>
    <row r="36">
      <c r="A36" s="6" t="s">
        <v>31</v>
      </c>
      <c r="B36" s="7">
        <v>6.0</v>
      </c>
      <c r="C36" s="7">
        <v>0.0</v>
      </c>
      <c r="D36" s="7">
        <v>6.0</v>
      </c>
      <c r="E36" s="7">
        <v>12.0</v>
      </c>
      <c r="F36" s="7">
        <v>3.0</v>
      </c>
      <c r="G36" s="7">
        <v>0.0</v>
      </c>
      <c r="H36" s="7">
        <v>24.0</v>
      </c>
    </row>
    <row r="37">
      <c r="A37" s="6" t="s">
        <v>40</v>
      </c>
      <c r="B37" s="7">
        <v>14.0</v>
      </c>
      <c r="C37" s="7">
        <v>5.0</v>
      </c>
      <c r="D37" s="7">
        <v>19.0</v>
      </c>
      <c r="E37" s="7">
        <v>4.0</v>
      </c>
      <c r="F37" s="7">
        <v>0.0</v>
      </c>
      <c r="G37" s="7">
        <v>0.0</v>
      </c>
      <c r="H37" s="7">
        <v>23.0</v>
      </c>
    </row>
    <row r="38">
      <c r="A38" s="6" t="s">
        <v>78</v>
      </c>
      <c r="B38" s="7">
        <v>0.0</v>
      </c>
      <c r="C38" s="7">
        <v>4.0</v>
      </c>
      <c r="D38" s="7">
        <v>4.0</v>
      </c>
      <c r="E38" s="7">
        <v>18.0</v>
      </c>
      <c r="F38" s="7">
        <v>0.0</v>
      </c>
      <c r="G38" s="7">
        <v>1.0</v>
      </c>
      <c r="H38" s="7">
        <v>23.0</v>
      </c>
    </row>
    <row r="39">
      <c r="A39" s="6" t="s">
        <v>83</v>
      </c>
      <c r="B39" s="7">
        <v>1.0</v>
      </c>
      <c r="C39" s="7">
        <v>0.0</v>
      </c>
      <c r="D39" s="7">
        <v>1.0</v>
      </c>
      <c r="E39" s="7">
        <v>22.0</v>
      </c>
      <c r="F39" s="7">
        <v>0.0</v>
      </c>
      <c r="G39" s="7">
        <v>0.0</v>
      </c>
      <c r="H39" s="7">
        <v>23.0</v>
      </c>
    </row>
    <row r="40">
      <c r="A40" s="6" t="s">
        <v>16</v>
      </c>
      <c r="B40" s="7">
        <v>4.0</v>
      </c>
      <c r="C40" s="7">
        <v>1.0</v>
      </c>
      <c r="D40" s="7">
        <v>5.0</v>
      </c>
      <c r="E40" s="7">
        <v>16.0</v>
      </c>
      <c r="F40" s="7">
        <v>0.0</v>
      </c>
      <c r="G40" s="7">
        <v>0.0</v>
      </c>
      <c r="H40" s="7">
        <v>22.0</v>
      </c>
    </row>
    <row r="41">
      <c r="A41" s="6" t="s">
        <v>97</v>
      </c>
      <c r="B41" s="7">
        <v>2.0</v>
      </c>
      <c r="C41" s="7">
        <v>6.0</v>
      </c>
      <c r="D41" s="7">
        <v>8.0</v>
      </c>
      <c r="E41" s="7">
        <v>9.0</v>
      </c>
      <c r="F41" s="7">
        <v>0.0</v>
      </c>
      <c r="G41" s="7">
        <v>0.0</v>
      </c>
      <c r="H41" s="7">
        <v>17.0</v>
      </c>
    </row>
    <row r="42">
      <c r="A42" s="6" t="s">
        <v>75</v>
      </c>
      <c r="B42" s="7">
        <v>0.0</v>
      </c>
      <c r="C42" s="7">
        <v>3.0</v>
      </c>
      <c r="D42" s="7">
        <v>3.0</v>
      </c>
      <c r="E42" s="7">
        <v>13.0</v>
      </c>
      <c r="F42" s="7">
        <v>0.0</v>
      </c>
      <c r="G42" s="7">
        <v>0.0</v>
      </c>
      <c r="H42" s="7">
        <v>16.0</v>
      </c>
    </row>
    <row r="43">
      <c r="A43" s="6" t="s">
        <v>74</v>
      </c>
      <c r="B43" s="7">
        <v>0.0</v>
      </c>
      <c r="C43" s="7">
        <v>0.0</v>
      </c>
      <c r="D43" s="7">
        <v>0.0</v>
      </c>
      <c r="E43" s="7">
        <v>15.0</v>
      </c>
      <c r="F43" s="7">
        <v>0.0</v>
      </c>
      <c r="G43" s="7">
        <v>0.0</v>
      </c>
      <c r="H43" s="7">
        <v>15.0</v>
      </c>
    </row>
    <row r="44">
      <c r="A44" s="6" t="s">
        <v>37</v>
      </c>
      <c r="B44" s="7">
        <v>0.0</v>
      </c>
      <c r="C44" s="7">
        <v>0.0</v>
      </c>
      <c r="D44" s="7">
        <v>0.0</v>
      </c>
      <c r="E44" s="7">
        <v>14.0</v>
      </c>
      <c r="F44" s="7">
        <v>0.0</v>
      </c>
      <c r="G44" s="7">
        <v>0.0</v>
      </c>
      <c r="H44" s="7">
        <v>14.0</v>
      </c>
    </row>
    <row r="45">
      <c r="A45" s="6" t="s">
        <v>42</v>
      </c>
      <c r="B45" s="7">
        <v>0.0</v>
      </c>
      <c r="C45" s="7">
        <v>2.0</v>
      </c>
      <c r="D45" s="7">
        <v>2.0</v>
      </c>
      <c r="E45" s="7">
        <v>12.0</v>
      </c>
      <c r="F45" s="7">
        <v>0.0</v>
      </c>
      <c r="G45" s="7">
        <v>0.0</v>
      </c>
      <c r="H45" s="7">
        <v>14.0</v>
      </c>
    </row>
    <row r="46">
      <c r="A46" s="6" t="s">
        <v>46</v>
      </c>
      <c r="B46" s="7">
        <v>10.0</v>
      </c>
      <c r="C46" s="7">
        <v>0.0</v>
      </c>
      <c r="D46" s="7">
        <v>10.0</v>
      </c>
      <c r="E46" s="7">
        <v>1.0</v>
      </c>
      <c r="F46" s="7">
        <v>0.0</v>
      </c>
      <c r="G46" s="7">
        <v>1.0</v>
      </c>
      <c r="H46" s="7">
        <v>12.0</v>
      </c>
    </row>
    <row r="47">
      <c r="A47" s="6" t="s">
        <v>89</v>
      </c>
      <c r="B47" s="7">
        <v>0.0</v>
      </c>
      <c r="C47" s="7">
        <v>0.0</v>
      </c>
      <c r="D47" s="7">
        <v>0.0</v>
      </c>
      <c r="E47" s="7">
        <v>4.0</v>
      </c>
      <c r="F47" s="7">
        <v>0.0</v>
      </c>
      <c r="G47" s="7">
        <v>0.0</v>
      </c>
      <c r="H47" s="7">
        <v>12.0</v>
      </c>
    </row>
    <row r="48">
      <c r="A48" s="6" t="s">
        <v>95</v>
      </c>
      <c r="B48" s="7">
        <v>2.0</v>
      </c>
      <c r="C48" s="7">
        <v>0.0</v>
      </c>
      <c r="D48" s="7">
        <v>2.0</v>
      </c>
      <c r="E48" s="7">
        <v>9.0</v>
      </c>
      <c r="F48" s="7">
        <v>0.0</v>
      </c>
      <c r="G48" s="7">
        <v>0.0</v>
      </c>
      <c r="H48" s="7">
        <v>11.0</v>
      </c>
    </row>
    <row r="49">
      <c r="A49" s="6" t="s">
        <v>21</v>
      </c>
      <c r="B49" s="7">
        <v>1.0</v>
      </c>
      <c r="C49" s="7">
        <v>2.0</v>
      </c>
      <c r="D49" s="7">
        <v>3.0</v>
      </c>
      <c r="E49" s="7">
        <v>7.0</v>
      </c>
      <c r="F49" s="7">
        <v>0.0</v>
      </c>
      <c r="G49" s="7">
        <v>0.0</v>
      </c>
      <c r="H49" s="7">
        <v>10.0</v>
      </c>
    </row>
    <row r="50">
      <c r="A50" s="6" t="s">
        <v>24</v>
      </c>
      <c r="B50" s="7">
        <v>0.0</v>
      </c>
      <c r="C50" s="7">
        <v>0.0</v>
      </c>
      <c r="D50" s="7">
        <v>0.0</v>
      </c>
      <c r="E50" s="7">
        <v>10.0</v>
      </c>
      <c r="F50" s="7">
        <v>0.0</v>
      </c>
      <c r="G50" s="7">
        <v>0.0</v>
      </c>
      <c r="H50" s="7">
        <v>10.0</v>
      </c>
    </row>
    <row r="51">
      <c r="A51" s="6" t="s">
        <v>48</v>
      </c>
      <c r="B51" s="7">
        <v>0.0</v>
      </c>
      <c r="C51" s="7">
        <v>0.0</v>
      </c>
      <c r="D51" s="7">
        <v>0.0</v>
      </c>
      <c r="E51" s="7">
        <v>9.0</v>
      </c>
      <c r="F51" s="7">
        <v>0.0</v>
      </c>
      <c r="G51" s="7">
        <v>0.0</v>
      </c>
      <c r="H51" s="7">
        <v>10.0</v>
      </c>
    </row>
    <row r="52">
      <c r="A52" s="6" t="s">
        <v>60</v>
      </c>
      <c r="B52" s="7">
        <v>1.0</v>
      </c>
      <c r="C52" s="7">
        <v>4.0</v>
      </c>
      <c r="D52" s="7">
        <v>5.0</v>
      </c>
      <c r="E52" s="7">
        <v>5.0</v>
      </c>
      <c r="F52" s="7">
        <v>0.0</v>
      </c>
      <c r="G52" s="7">
        <v>0.0</v>
      </c>
      <c r="H52" s="7">
        <v>10.0</v>
      </c>
    </row>
    <row r="53">
      <c r="A53" s="6" t="s">
        <v>87</v>
      </c>
      <c r="B53" s="7">
        <v>0.0</v>
      </c>
      <c r="C53" s="7">
        <v>0.0</v>
      </c>
      <c r="D53" s="7">
        <v>0.0</v>
      </c>
      <c r="E53" s="7">
        <v>8.0</v>
      </c>
      <c r="F53" s="7">
        <v>0.0</v>
      </c>
      <c r="G53" s="7">
        <v>0.0</v>
      </c>
      <c r="H53" s="7">
        <v>9.0</v>
      </c>
    </row>
    <row r="54">
      <c r="A54" s="6" t="s">
        <v>28</v>
      </c>
      <c r="B54" s="7">
        <v>2.0</v>
      </c>
      <c r="C54" s="7">
        <v>0.0</v>
      </c>
      <c r="D54" s="7">
        <v>2.0</v>
      </c>
      <c r="E54" s="7">
        <v>6.0</v>
      </c>
      <c r="F54" s="7">
        <v>0.0</v>
      </c>
      <c r="G54" s="7">
        <v>0.0</v>
      </c>
      <c r="H54" s="7">
        <v>8.0</v>
      </c>
    </row>
    <row r="55">
      <c r="A55" s="6" t="s">
        <v>47</v>
      </c>
      <c r="B55" s="7">
        <v>2.0</v>
      </c>
      <c r="C55" s="7">
        <v>1.0</v>
      </c>
      <c r="D55" s="7">
        <v>3.0</v>
      </c>
      <c r="E55" s="7">
        <v>3.0</v>
      </c>
      <c r="F55" s="7">
        <v>0.0</v>
      </c>
      <c r="G55" s="7">
        <v>0.0</v>
      </c>
      <c r="H55" s="7">
        <v>7.0</v>
      </c>
    </row>
    <row r="56">
      <c r="A56" s="6" t="s">
        <v>64</v>
      </c>
      <c r="B56" s="7">
        <v>0.0</v>
      </c>
      <c r="C56" s="7">
        <v>0.0</v>
      </c>
      <c r="D56" s="7">
        <v>0.0</v>
      </c>
      <c r="E56" s="7">
        <v>7.0</v>
      </c>
      <c r="F56" s="7">
        <v>0.0</v>
      </c>
      <c r="G56" s="7">
        <v>0.0</v>
      </c>
      <c r="H56" s="7">
        <v>7.0</v>
      </c>
    </row>
    <row r="57">
      <c r="A57" s="6" t="s">
        <v>126</v>
      </c>
      <c r="B57" s="7">
        <v>0.0</v>
      </c>
      <c r="C57" s="7">
        <v>0.0</v>
      </c>
      <c r="D57" s="7">
        <v>0.0</v>
      </c>
      <c r="E57" s="7">
        <v>6.0</v>
      </c>
      <c r="F57" s="7">
        <v>0.0</v>
      </c>
      <c r="G57" s="7">
        <v>0.0</v>
      </c>
      <c r="H57" s="7">
        <v>6.0</v>
      </c>
    </row>
    <row r="58">
      <c r="A58" s="6" t="s">
        <v>30</v>
      </c>
      <c r="B58" s="7">
        <v>2.0</v>
      </c>
      <c r="C58" s="7">
        <v>0.0</v>
      </c>
      <c r="D58" s="7">
        <v>2.0</v>
      </c>
      <c r="E58" s="7">
        <v>3.0</v>
      </c>
      <c r="F58" s="7">
        <v>1.0</v>
      </c>
      <c r="G58" s="7">
        <v>0.0</v>
      </c>
      <c r="H58" s="7">
        <v>6.0</v>
      </c>
    </row>
    <row r="59">
      <c r="A59" s="6" t="s">
        <v>82</v>
      </c>
      <c r="B59" s="7">
        <v>1.0</v>
      </c>
      <c r="C59" s="7">
        <v>4.0</v>
      </c>
      <c r="D59" s="7">
        <v>5.0</v>
      </c>
      <c r="E59" s="7">
        <v>1.0</v>
      </c>
      <c r="F59" s="7">
        <v>0.0</v>
      </c>
      <c r="G59" s="7">
        <v>0.0</v>
      </c>
      <c r="H59" s="7">
        <v>6.0</v>
      </c>
    </row>
    <row r="60">
      <c r="A60" s="6" t="s">
        <v>62</v>
      </c>
      <c r="B60" s="7">
        <v>5.0</v>
      </c>
      <c r="C60" s="7">
        <v>0.0</v>
      </c>
      <c r="D60" s="7">
        <v>5.0</v>
      </c>
      <c r="E60" s="7">
        <v>0.0</v>
      </c>
      <c r="F60" s="7">
        <v>0.0</v>
      </c>
      <c r="G60" s="7">
        <v>0.0</v>
      </c>
      <c r="H60" s="7">
        <v>5.0</v>
      </c>
    </row>
    <row r="61">
      <c r="A61" s="6" t="s">
        <v>127</v>
      </c>
      <c r="B61" s="7">
        <v>0.0</v>
      </c>
      <c r="C61" s="7">
        <v>0.0</v>
      </c>
      <c r="D61" s="7">
        <v>0.0</v>
      </c>
      <c r="E61" s="7">
        <v>5.0</v>
      </c>
      <c r="F61" s="7">
        <v>0.0</v>
      </c>
      <c r="G61" s="7">
        <v>0.0</v>
      </c>
      <c r="H61" s="7">
        <v>5.0</v>
      </c>
    </row>
    <row r="62">
      <c r="A62" s="6" t="s">
        <v>128</v>
      </c>
      <c r="B62" s="7">
        <v>0.0</v>
      </c>
      <c r="C62" s="7">
        <v>0.0</v>
      </c>
      <c r="D62" s="7">
        <v>0.0</v>
      </c>
      <c r="E62" s="7">
        <v>4.0</v>
      </c>
      <c r="F62" s="7">
        <v>0.0</v>
      </c>
      <c r="G62" s="7">
        <v>0.0</v>
      </c>
      <c r="H62" s="7">
        <v>4.0</v>
      </c>
    </row>
    <row r="63">
      <c r="A63" s="6" t="s">
        <v>71</v>
      </c>
      <c r="B63" s="7">
        <v>0.0</v>
      </c>
      <c r="C63" s="7">
        <v>0.0</v>
      </c>
      <c r="D63" s="7">
        <v>0.0</v>
      </c>
      <c r="E63" s="7">
        <v>4.0</v>
      </c>
      <c r="F63" s="7">
        <v>0.0</v>
      </c>
      <c r="G63" s="7">
        <v>0.0</v>
      </c>
      <c r="H63" s="7">
        <v>4.0</v>
      </c>
    </row>
    <row r="64">
      <c r="A64" s="6" t="s">
        <v>84</v>
      </c>
      <c r="B64" s="7">
        <v>3.0</v>
      </c>
      <c r="C64" s="7">
        <v>0.0</v>
      </c>
      <c r="D64" s="7">
        <v>3.0</v>
      </c>
      <c r="E64" s="7">
        <v>1.0</v>
      </c>
      <c r="F64" s="7">
        <v>0.0</v>
      </c>
      <c r="G64" s="7">
        <v>0.0</v>
      </c>
      <c r="H64" s="7">
        <v>4.0</v>
      </c>
    </row>
    <row r="65">
      <c r="A65" s="6" t="s">
        <v>90</v>
      </c>
      <c r="B65" s="7">
        <v>0.0</v>
      </c>
      <c r="C65" s="7">
        <v>0.0</v>
      </c>
      <c r="D65" s="7">
        <v>0.0</v>
      </c>
      <c r="E65" s="7">
        <v>4.0</v>
      </c>
      <c r="F65" s="7">
        <v>0.0</v>
      </c>
      <c r="G65" s="7">
        <v>0.0</v>
      </c>
      <c r="H65" s="7">
        <v>4.0</v>
      </c>
    </row>
    <row r="66">
      <c r="A66" s="6" t="s">
        <v>15</v>
      </c>
      <c r="B66" s="7">
        <v>1.0</v>
      </c>
      <c r="C66" s="7">
        <v>0.0</v>
      </c>
      <c r="D66" s="7">
        <v>1.0</v>
      </c>
      <c r="E66" s="7">
        <v>2.0</v>
      </c>
      <c r="F66" s="7">
        <v>0.0</v>
      </c>
      <c r="G66" s="7">
        <v>0.0</v>
      </c>
      <c r="H66" s="7">
        <v>3.0</v>
      </c>
    </row>
    <row r="67">
      <c r="A67" s="6" t="s">
        <v>18</v>
      </c>
      <c r="B67" s="7">
        <v>0.0</v>
      </c>
      <c r="C67" s="7">
        <v>0.0</v>
      </c>
      <c r="D67" s="7">
        <v>0.0</v>
      </c>
      <c r="E67" s="7">
        <v>3.0</v>
      </c>
      <c r="F67" s="7">
        <v>0.0</v>
      </c>
      <c r="G67" s="7">
        <v>0.0</v>
      </c>
      <c r="H67" s="7">
        <v>3.0</v>
      </c>
    </row>
    <row r="68">
      <c r="A68" s="6" t="s">
        <v>22</v>
      </c>
      <c r="B68" s="7">
        <v>1.0</v>
      </c>
      <c r="C68" s="7">
        <v>0.0</v>
      </c>
      <c r="D68" s="7">
        <v>1.0</v>
      </c>
      <c r="E68" s="7">
        <v>2.0</v>
      </c>
      <c r="F68" s="7">
        <v>0.0</v>
      </c>
      <c r="G68" s="7">
        <v>0.0</v>
      </c>
      <c r="H68" s="7">
        <v>3.0</v>
      </c>
    </row>
    <row r="69">
      <c r="A69" s="6" t="s">
        <v>80</v>
      </c>
      <c r="B69" s="7">
        <v>1.0</v>
      </c>
      <c r="C69" s="7">
        <v>2.0</v>
      </c>
      <c r="D69" s="7">
        <v>3.0</v>
      </c>
      <c r="E69" s="7">
        <v>0.0</v>
      </c>
      <c r="F69" s="7">
        <v>0.0</v>
      </c>
      <c r="G69" s="7">
        <v>0.0</v>
      </c>
      <c r="H69" s="7">
        <v>3.0</v>
      </c>
    </row>
    <row r="70">
      <c r="A70" s="6" t="s">
        <v>88</v>
      </c>
      <c r="B70" s="7">
        <v>0.0</v>
      </c>
      <c r="C70" s="7">
        <v>0.0</v>
      </c>
      <c r="D70" s="7">
        <v>0.0</v>
      </c>
      <c r="E70" s="7">
        <v>3.0</v>
      </c>
      <c r="F70" s="7">
        <v>0.0</v>
      </c>
      <c r="G70" s="7">
        <v>0.0</v>
      </c>
      <c r="H70" s="7">
        <v>3.0</v>
      </c>
    </row>
    <row r="71">
      <c r="A71" s="6" t="s">
        <v>36</v>
      </c>
      <c r="B71" s="7">
        <v>0.0</v>
      </c>
      <c r="C71" s="7">
        <v>0.0</v>
      </c>
      <c r="D71" s="7">
        <v>0.0</v>
      </c>
      <c r="E71" s="7">
        <v>2.0</v>
      </c>
      <c r="F71" s="7">
        <v>0.0</v>
      </c>
      <c r="G71" s="7">
        <v>0.0</v>
      </c>
      <c r="H71" s="7">
        <v>2.0</v>
      </c>
    </row>
    <row r="72">
      <c r="A72" s="6" t="s">
        <v>38</v>
      </c>
      <c r="B72" s="7">
        <v>2.0</v>
      </c>
      <c r="C72" s="7">
        <v>0.0</v>
      </c>
      <c r="D72" s="7">
        <v>2.0</v>
      </c>
      <c r="E72" s="7">
        <v>0.0</v>
      </c>
      <c r="F72" s="7">
        <v>0.0</v>
      </c>
      <c r="G72" s="7">
        <v>0.0</v>
      </c>
      <c r="H72" s="7">
        <v>2.0</v>
      </c>
    </row>
    <row r="73">
      <c r="A73" s="6" t="s">
        <v>41</v>
      </c>
      <c r="B73" s="7">
        <v>0.0</v>
      </c>
      <c r="C73" s="7">
        <v>0.0</v>
      </c>
      <c r="D73" s="7">
        <v>0.0</v>
      </c>
      <c r="E73" s="7">
        <v>2.0</v>
      </c>
      <c r="F73" s="7">
        <v>0.0</v>
      </c>
      <c r="G73" s="7">
        <v>0.0</v>
      </c>
      <c r="H73" s="7">
        <v>2.0</v>
      </c>
    </row>
    <row r="74">
      <c r="A74" s="6" t="s">
        <v>52</v>
      </c>
      <c r="B74" s="7">
        <v>1.0</v>
      </c>
      <c r="C74" s="7">
        <v>1.0</v>
      </c>
      <c r="D74" s="7">
        <v>2.0</v>
      </c>
      <c r="E74" s="7">
        <v>0.0</v>
      </c>
      <c r="F74" s="7">
        <v>0.0</v>
      </c>
      <c r="G74" s="7">
        <v>0.0</v>
      </c>
      <c r="H74" s="7">
        <v>2.0</v>
      </c>
    </row>
    <row r="75">
      <c r="A75" s="6" t="s">
        <v>56</v>
      </c>
      <c r="B75" s="7">
        <v>1.0</v>
      </c>
      <c r="C75" s="7">
        <v>0.0</v>
      </c>
      <c r="D75" s="7">
        <v>1.0</v>
      </c>
      <c r="E75" s="7">
        <v>1.0</v>
      </c>
      <c r="F75" s="7">
        <v>0.0</v>
      </c>
      <c r="G75" s="7">
        <v>0.0</v>
      </c>
      <c r="H75" s="7">
        <v>2.0</v>
      </c>
    </row>
    <row r="76">
      <c r="A76" s="6" t="s">
        <v>70</v>
      </c>
      <c r="B76" s="7">
        <v>2.0</v>
      </c>
      <c r="C76" s="7">
        <v>0.0</v>
      </c>
      <c r="D76" s="7">
        <v>2.0</v>
      </c>
      <c r="E76" s="7">
        <v>0.0</v>
      </c>
      <c r="F76" s="7">
        <v>0.0</v>
      </c>
      <c r="G76" s="7">
        <v>0.0</v>
      </c>
      <c r="H76" s="7">
        <v>2.0</v>
      </c>
    </row>
    <row r="77">
      <c r="A77" s="6" t="s">
        <v>72</v>
      </c>
      <c r="B77" s="7">
        <v>0.0</v>
      </c>
      <c r="C77" s="7">
        <v>0.0</v>
      </c>
      <c r="D77" s="7">
        <v>0.0</v>
      </c>
      <c r="E77" s="7">
        <v>2.0</v>
      </c>
      <c r="F77" s="7">
        <v>0.0</v>
      </c>
      <c r="G77" s="7">
        <v>0.0</v>
      </c>
      <c r="H77" s="7">
        <v>2.0</v>
      </c>
    </row>
    <row r="78">
      <c r="A78" s="6" t="s">
        <v>79</v>
      </c>
      <c r="B78" s="7">
        <v>0.0</v>
      </c>
      <c r="C78" s="7">
        <v>0.0</v>
      </c>
      <c r="D78" s="7">
        <v>0.0</v>
      </c>
      <c r="E78" s="7">
        <v>2.0</v>
      </c>
      <c r="F78" s="7">
        <v>0.0</v>
      </c>
      <c r="G78" s="7">
        <v>0.0</v>
      </c>
      <c r="H78" s="7">
        <v>2.0</v>
      </c>
    </row>
    <row r="79">
      <c r="A79" s="6" t="s">
        <v>86</v>
      </c>
      <c r="B79" s="7">
        <v>0.0</v>
      </c>
      <c r="C79" s="7">
        <v>0.0</v>
      </c>
      <c r="D79" s="7">
        <v>0.0</v>
      </c>
      <c r="E79" s="7">
        <v>1.0</v>
      </c>
      <c r="F79" s="7">
        <v>1.0</v>
      </c>
      <c r="G79" s="7">
        <v>0.0</v>
      </c>
      <c r="H79" s="7">
        <v>2.0</v>
      </c>
    </row>
    <row r="80">
      <c r="A80" s="6" t="s">
        <v>129</v>
      </c>
      <c r="B80" s="7">
        <v>0.0</v>
      </c>
      <c r="C80" s="7">
        <v>2.0</v>
      </c>
      <c r="D80" s="7">
        <v>2.0</v>
      </c>
      <c r="E80" s="7">
        <v>0.0</v>
      </c>
      <c r="F80" s="7">
        <v>0.0</v>
      </c>
      <c r="G80" s="7">
        <v>0.0</v>
      </c>
      <c r="H80" s="7">
        <v>2.0</v>
      </c>
    </row>
    <row r="81">
      <c r="A81" s="6" t="s">
        <v>130</v>
      </c>
      <c r="B81" s="7">
        <v>0.0</v>
      </c>
      <c r="C81" s="7">
        <v>0.0</v>
      </c>
      <c r="D81" s="7">
        <v>0.0</v>
      </c>
      <c r="E81" s="7">
        <v>1.0</v>
      </c>
      <c r="F81" s="7">
        <v>0.0</v>
      </c>
      <c r="G81" s="7">
        <v>0.0</v>
      </c>
      <c r="H81" s="7">
        <v>1.0</v>
      </c>
    </row>
    <row r="82">
      <c r="A82" s="6" t="s">
        <v>17</v>
      </c>
      <c r="B82" s="7">
        <v>1.0</v>
      </c>
      <c r="C82" s="7">
        <v>0.0</v>
      </c>
      <c r="D82" s="7">
        <v>1.0</v>
      </c>
      <c r="E82" s="7">
        <v>0.0</v>
      </c>
      <c r="F82" s="7">
        <v>0.0</v>
      </c>
      <c r="G82" s="7">
        <v>0.0</v>
      </c>
      <c r="H82" s="7">
        <v>1.0</v>
      </c>
    </row>
    <row r="83">
      <c r="A83" s="6" t="s">
        <v>19</v>
      </c>
      <c r="B83" s="7">
        <v>0.0</v>
      </c>
      <c r="C83" s="7">
        <v>0.0</v>
      </c>
      <c r="D83" s="7">
        <v>0.0</v>
      </c>
      <c r="E83" s="7">
        <v>1.0</v>
      </c>
      <c r="F83" s="7">
        <v>0.0</v>
      </c>
      <c r="G83" s="7">
        <v>0.0</v>
      </c>
      <c r="H83" s="7">
        <v>1.0</v>
      </c>
    </row>
    <row r="84">
      <c r="A84" s="6" t="s">
        <v>29</v>
      </c>
      <c r="B84" s="7">
        <v>1.0</v>
      </c>
      <c r="C84" s="7">
        <v>0.0</v>
      </c>
      <c r="D84" s="7">
        <v>1.0</v>
      </c>
      <c r="E84" s="7">
        <v>0.0</v>
      </c>
      <c r="F84" s="7">
        <v>0.0</v>
      </c>
      <c r="G84" s="7">
        <v>0.0</v>
      </c>
      <c r="H84" s="7">
        <v>1.0</v>
      </c>
    </row>
    <row r="85">
      <c r="A85" s="6" t="s">
        <v>39</v>
      </c>
      <c r="B85" s="7">
        <v>1.0</v>
      </c>
      <c r="C85" s="7">
        <v>0.0</v>
      </c>
      <c r="D85" s="7">
        <v>1.0</v>
      </c>
      <c r="E85" s="7">
        <v>0.0</v>
      </c>
      <c r="F85" s="7">
        <v>0.0</v>
      </c>
      <c r="G85" s="7">
        <v>0.0</v>
      </c>
      <c r="H85" s="7">
        <v>1.0</v>
      </c>
    </row>
    <row r="86">
      <c r="A86" s="6" t="s">
        <v>131</v>
      </c>
      <c r="B86" s="7">
        <v>0.0</v>
      </c>
      <c r="C86" s="7">
        <v>1.0</v>
      </c>
      <c r="D86" s="7">
        <v>1.0</v>
      </c>
      <c r="E86" s="7">
        <v>0.0</v>
      </c>
      <c r="F86" s="7">
        <v>0.0</v>
      </c>
      <c r="G86" s="7">
        <v>0.0</v>
      </c>
      <c r="H86" s="7">
        <v>1.0</v>
      </c>
    </row>
    <row r="87">
      <c r="A87" s="6" t="s">
        <v>58</v>
      </c>
      <c r="B87" s="7">
        <v>0.0</v>
      </c>
      <c r="C87" s="7">
        <v>0.0</v>
      </c>
      <c r="D87" s="7">
        <v>0.0</v>
      </c>
      <c r="E87" s="7">
        <v>1.0</v>
      </c>
      <c r="F87" s="7">
        <v>0.0</v>
      </c>
      <c r="G87" s="7">
        <v>0.0</v>
      </c>
      <c r="H87" s="7">
        <v>1.0</v>
      </c>
    </row>
    <row r="88">
      <c r="A88" s="6" t="s">
        <v>132</v>
      </c>
      <c r="B88" s="7">
        <v>0.0</v>
      </c>
      <c r="C88" s="7">
        <v>0.0</v>
      </c>
      <c r="D88" s="7">
        <v>0.0</v>
      </c>
      <c r="E88" s="7">
        <v>0.0</v>
      </c>
      <c r="F88" s="7">
        <v>0.0</v>
      </c>
      <c r="G88" s="7">
        <v>0.0</v>
      </c>
      <c r="H88" s="7">
        <v>1.0</v>
      </c>
    </row>
    <row r="89">
      <c r="A89" s="6" t="s">
        <v>98</v>
      </c>
      <c r="B89" s="7">
        <v>0.0</v>
      </c>
      <c r="C89" s="7">
        <v>1.0</v>
      </c>
      <c r="D89" s="7">
        <v>1.0</v>
      </c>
      <c r="E89" s="7">
        <v>0.0</v>
      </c>
      <c r="F89" s="7">
        <v>0.0</v>
      </c>
      <c r="G89" s="7">
        <v>0.0</v>
      </c>
      <c r="H89" s="7">
        <v>1.0</v>
      </c>
    </row>
    <row r="90">
      <c r="A90" s="6"/>
      <c r="B90" s="6"/>
      <c r="C90" s="6"/>
      <c r="D90" s="6"/>
      <c r="E90" s="6"/>
      <c r="F90" s="6"/>
      <c r="G90" s="6"/>
      <c r="H90" s="6"/>
    </row>
    <row r="91">
      <c r="A91" s="9" t="s">
        <v>10</v>
      </c>
      <c r="B91" s="7">
        <f t="shared" ref="B91:H91" si="1">SUM(B3:B89)</f>
        <v>315</v>
      </c>
      <c r="C91" s="7">
        <f t="shared" si="1"/>
        <v>168</v>
      </c>
      <c r="D91" s="7">
        <f t="shared" si="1"/>
        <v>483</v>
      </c>
      <c r="E91" s="7">
        <f t="shared" si="1"/>
        <v>5441</v>
      </c>
      <c r="F91" s="7">
        <f t="shared" si="1"/>
        <v>212</v>
      </c>
      <c r="G91" s="7">
        <f t="shared" si="1"/>
        <v>19</v>
      </c>
      <c r="H91" s="7">
        <f t="shared" si="1"/>
        <v>6320</v>
      </c>
    </row>
    <row r="92">
      <c r="A92" s="6"/>
      <c r="B92" s="6"/>
      <c r="C92" s="6"/>
      <c r="D92" s="6"/>
      <c r="E92" s="6"/>
      <c r="F92" s="6"/>
      <c r="G92" s="6"/>
      <c r="H92" s="6"/>
    </row>
    <row r="93">
      <c r="A93" s="24" t="s">
        <v>133</v>
      </c>
    </row>
    <row r="94">
      <c r="A94" s="12" t="s">
        <v>100</v>
      </c>
    </row>
    <row r="95">
      <c r="A95" s="13" t="s">
        <v>134</v>
      </c>
    </row>
  </sheetData>
  <mergeCells count="6">
    <mergeCell ref="A1:H1"/>
    <mergeCell ref="A2:H2"/>
    <mergeCell ref="A3:H3"/>
    <mergeCell ref="A93:H93"/>
    <mergeCell ref="A94:H94"/>
    <mergeCell ref="A95:H95"/>
  </mergeCells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8" width="16.0"/>
  </cols>
  <sheetData>
    <row r="1">
      <c r="A1" s="22" t="s">
        <v>125</v>
      </c>
    </row>
    <row r="2">
      <c r="A2" s="2" t="s">
        <v>1</v>
      </c>
    </row>
    <row r="3">
      <c r="A3" s="3" t="s">
        <v>2</v>
      </c>
    </row>
    <row r="4">
      <c r="A4" s="5" t="s">
        <v>102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>
      <c r="A5" s="6" t="s">
        <v>103</v>
      </c>
      <c r="B5" s="14">
        <v>41.0</v>
      </c>
      <c r="C5" s="14">
        <v>8.0</v>
      </c>
      <c r="D5" s="14">
        <v>49.0</v>
      </c>
      <c r="E5" s="8">
        <v>2610.0</v>
      </c>
      <c r="F5" s="14">
        <v>58.0</v>
      </c>
      <c r="G5" s="14">
        <v>0.0</v>
      </c>
      <c r="H5" s="8">
        <v>2762.0</v>
      </c>
    </row>
    <row r="6">
      <c r="A6" s="6" t="s">
        <v>104</v>
      </c>
      <c r="B6" s="14">
        <v>42.0</v>
      </c>
      <c r="C6" s="14">
        <v>27.0</v>
      </c>
      <c r="D6" s="14">
        <v>69.0</v>
      </c>
      <c r="E6" s="14">
        <v>988.0</v>
      </c>
      <c r="F6" s="14">
        <v>28.0</v>
      </c>
      <c r="G6" s="14">
        <v>1.0</v>
      </c>
      <c r="H6" s="14">
        <v>1099.0</v>
      </c>
    </row>
    <row r="7">
      <c r="A7" s="6" t="s">
        <v>105</v>
      </c>
      <c r="B7" s="14">
        <v>66.0</v>
      </c>
      <c r="C7" s="14">
        <v>15.0</v>
      </c>
      <c r="D7" s="14">
        <v>81.0</v>
      </c>
      <c r="E7" s="14">
        <v>315.0</v>
      </c>
      <c r="F7" s="14">
        <v>80.0</v>
      </c>
      <c r="G7" s="14">
        <v>2.0</v>
      </c>
      <c r="H7" s="14">
        <v>482.0</v>
      </c>
    </row>
    <row r="8">
      <c r="A8" s="6" t="s">
        <v>106</v>
      </c>
      <c r="B8" s="14">
        <v>43.0</v>
      </c>
      <c r="C8" s="14">
        <v>13.0</v>
      </c>
      <c r="D8" s="14">
        <v>56.0</v>
      </c>
      <c r="E8" s="14">
        <v>252.0</v>
      </c>
      <c r="F8" s="14">
        <v>0.0</v>
      </c>
      <c r="G8" s="14">
        <v>3.0</v>
      </c>
      <c r="H8" s="14">
        <v>345.0</v>
      </c>
    </row>
    <row r="9">
      <c r="A9" s="6" t="s">
        <v>108</v>
      </c>
      <c r="B9" s="14">
        <v>0.0</v>
      </c>
      <c r="C9" s="14">
        <v>0.0</v>
      </c>
      <c r="D9" s="14">
        <v>0.0</v>
      </c>
      <c r="E9" s="14">
        <v>10.0</v>
      </c>
      <c r="F9" s="14">
        <v>0.0</v>
      </c>
      <c r="G9" s="14">
        <v>0.0</v>
      </c>
      <c r="H9" s="14">
        <v>11.0</v>
      </c>
    </row>
    <row r="10">
      <c r="A10" s="6" t="s">
        <v>107</v>
      </c>
      <c r="B10" s="14">
        <v>13.0</v>
      </c>
      <c r="C10" s="14">
        <v>3.0</v>
      </c>
      <c r="D10" s="14">
        <v>16.0</v>
      </c>
      <c r="E10" s="14">
        <v>116.0</v>
      </c>
      <c r="F10" s="14">
        <v>11.0</v>
      </c>
      <c r="G10" s="14">
        <v>9.0</v>
      </c>
      <c r="H10" s="14">
        <v>152.0</v>
      </c>
    </row>
    <row r="11">
      <c r="A11" s="6" t="s">
        <v>114</v>
      </c>
      <c r="B11" s="14">
        <v>6.0</v>
      </c>
      <c r="C11" s="14">
        <v>6.0</v>
      </c>
      <c r="D11" s="14">
        <v>12.0</v>
      </c>
      <c r="E11" s="14">
        <v>143.0</v>
      </c>
      <c r="F11" s="14">
        <v>5.0</v>
      </c>
      <c r="G11" s="14">
        <v>0.0</v>
      </c>
      <c r="H11" s="14">
        <v>168.0</v>
      </c>
    </row>
    <row r="12">
      <c r="A12" s="6" t="s">
        <v>115</v>
      </c>
      <c r="B12" s="14">
        <v>24.0</v>
      </c>
      <c r="C12" s="14">
        <v>49.0</v>
      </c>
      <c r="D12" s="14">
        <v>73.0</v>
      </c>
      <c r="E12" s="14">
        <v>309.0</v>
      </c>
      <c r="F12" s="14">
        <v>22.0</v>
      </c>
      <c r="G12" s="14">
        <v>0.0</v>
      </c>
      <c r="H12" s="14">
        <v>405.0</v>
      </c>
    </row>
    <row r="13">
      <c r="A13" s="6" t="s">
        <v>109</v>
      </c>
      <c r="B13" s="14">
        <v>18.0</v>
      </c>
      <c r="C13" s="14">
        <v>16.0</v>
      </c>
      <c r="D13" s="14">
        <v>34.0</v>
      </c>
      <c r="E13" s="14">
        <v>126.0</v>
      </c>
      <c r="F13" s="14">
        <v>4.0</v>
      </c>
      <c r="G13" s="14">
        <v>2.0</v>
      </c>
      <c r="H13" s="14">
        <v>170.0</v>
      </c>
    </row>
    <row r="14">
      <c r="A14" s="6" t="s">
        <v>110</v>
      </c>
      <c r="B14" s="14">
        <v>21.0</v>
      </c>
      <c r="C14" s="14">
        <v>19.0</v>
      </c>
      <c r="D14" s="14">
        <v>40.0</v>
      </c>
      <c r="E14" s="14">
        <v>211.0</v>
      </c>
      <c r="F14" s="14">
        <v>1.0</v>
      </c>
      <c r="G14" s="14">
        <v>1.0</v>
      </c>
      <c r="H14" s="14">
        <v>260.0</v>
      </c>
    </row>
    <row r="15">
      <c r="A15" s="6" t="s">
        <v>111</v>
      </c>
      <c r="B15" s="14">
        <v>3.0</v>
      </c>
      <c r="C15" s="14">
        <v>8.0</v>
      </c>
      <c r="D15" s="14">
        <v>11.0</v>
      </c>
      <c r="E15" s="14">
        <v>110.0</v>
      </c>
      <c r="F15" s="14">
        <v>1.0</v>
      </c>
      <c r="G15" s="14">
        <v>1.0</v>
      </c>
      <c r="H15" s="14">
        <v>125.0</v>
      </c>
    </row>
    <row r="16">
      <c r="A16" s="6" t="s">
        <v>112</v>
      </c>
      <c r="B16" s="8">
        <v>8.0</v>
      </c>
      <c r="C16" s="14">
        <v>3.0</v>
      </c>
      <c r="D16" s="8">
        <v>11.0</v>
      </c>
      <c r="E16" s="14">
        <v>163.0</v>
      </c>
      <c r="F16" s="14">
        <v>0.0</v>
      </c>
      <c r="G16" s="14">
        <v>0.0</v>
      </c>
      <c r="H16" s="14">
        <v>175.0</v>
      </c>
    </row>
    <row r="17">
      <c r="A17" s="6" t="s">
        <v>113</v>
      </c>
      <c r="B17" s="14">
        <v>6.0</v>
      </c>
      <c r="C17" s="14">
        <v>1.0</v>
      </c>
      <c r="D17" s="14">
        <v>7.0</v>
      </c>
      <c r="E17" s="14">
        <v>48.0</v>
      </c>
      <c r="F17" s="14">
        <v>0.0</v>
      </c>
      <c r="G17" s="14">
        <v>0.0</v>
      </c>
      <c r="H17" s="14">
        <v>67.0</v>
      </c>
    </row>
    <row r="18">
      <c r="A18" s="6" t="s">
        <v>116</v>
      </c>
      <c r="B18" s="14">
        <v>22.0</v>
      </c>
      <c r="C18" s="14">
        <v>0.0</v>
      </c>
      <c r="D18" s="14">
        <v>22.0</v>
      </c>
      <c r="E18" s="14">
        <v>41.0</v>
      </c>
      <c r="F18" s="14">
        <v>2.0</v>
      </c>
      <c r="G18" s="14">
        <v>0.0</v>
      </c>
      <c r="H18" s="14">
        <v>97.0</v>
      </c>
    </row>
    <row r="19">
      <c r="A19" s="6" t="s">
        <v>117</v>
      </c>
      <c r="B19" s="14">
        <v>2.0</v>
      </c>
      <c r="C19" s="14">
        <v>0.0</v>
      </c>
      <c r="D19" s="14">
        <v>2.0</v>
      </c>
      <c r="E19" s="14">
        <v>0.0</v>
      </c>
      <c r="F19" s="14">
        <v>0.0</v>
      </c>
      <c r="G19" s="14">
        <v>0.0</v>
      </c>
      <c r="H19" s="14">
        <v>2.0</v>
      </c>
    </row>
    <row r="20">
      <c r="A20" s="5" t="s">
        <v>118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</row>
    <row r="21">
      <c r="A21" s="15" t="s">
        <v>122</v>
      </c>
      <c r="B21" s="25">
        <f t="shared" ref="B21:H21" si="1">SUM(B11:B12)</f>
        <v>30</v>
      </c>
      <c r="C21" s="25">
        <f t="shared" si="1"/>
        <v>55</v>
      </c>
      <c r="D21" s="16">
        <f t="shared" si="1"/>
        <v>85</v>
      </c>
      <c r="E21" s="25">
        <f t="shared" si="1"/>
        <v>452</v>
      </c>
      <c r="F21" s="25">
        <f t="shared" si="1"/>
        <v>27</v>
      </c>
      <c r="G21" s="16">
        <f t="shared" si="1"/>
        <v>0</v>
      </c>
      <c r="H21" s="16">
        <f t="shared" si="1"/>
        <v>573</v>
      </c>
    </row>
    <row r="22" ht="15.75" customHeight="1">
      <c r="A22" s="15" t="s">
        <v>119</v>
      </c>
      <c r="B22" s="26">
        <f t="shared" ref="B22:H22" si="2">sum(B5:B6)</f>
        <v>83</v>
      </c>
      <c r="C22" s="26">
        <f t="shared" si="2"/>
        <v>35</v>
      </c>
      <c r="D22" s="26">
        <f t="shared" si="2"/>
        <v>118</v>
      </c>
      <c r="E22" s="26">
        <f t="shared" si="2"/>
        <v>3598</v>
      </c>
      <c r="F22" s="26">
        <f t="shared" si="2"/>
        <v>86</v>
      </c>
      <c r="G22" s="26">
        <f t="shared" si="2"/>
        <v>1</v>
      </c>
      <c r="H22" s="26">
        <f t="shared" si="2"/>
        <v>3861</v>
      </c>
    </row>
    <row r="23" ht="15.75" customHeight="1">
      <c r="A23" s="15" t="s">
        <v>121</v>
      </c>
      <c r="B23" s="26">
        <f t="shared" ref="B23:H23" si="3">sum(B13:B17)</f>
        <v>56</v>
      </c>
      <c r="C23" s="26">
        <f t="shared" si="3"/>
        <v>47</v>
      </c>
      <c r="D23" s="26">
        <f t="shared" si="3"/>
        <v>103</v>
      </c>
      <c r="E23" s="26">
        <f t="shared" si="3"/>
        <v>658</v>
      </c>
      <c r="F23" s="26">
        <f t="shared" si="3"/>
        <v>6</v>
      </c>
      <c r="G23" s="26">
        <f t="shared" si="3"/>
        <v>4</v>
      </c>
      <c r="H23" s="26">
        <f t="shared" si="3"/>
        <v>797</v>
      </c>
    </row>
    <row r="24">
      <c r="A24" s="15" t="s">
        <v>120</v>
      </c>
      <c r="B24" s="26">
        <f t="shared" ref="B24:H24" si="4">sum(B7:B10)</f>
        <v>122</v>
      </c>
      <c r="C24" s="26">
        <f t="shared" si="4"/>
        <v>31</v>
      </c>
      <c r="D24" s="26">
        <f t="shared" si="4"/>
        <v>153</v>
      </c>
      <c r="E24" s="26">
        <f t="shared" si="4"/>
        <v>693</v>
      </c>
      <c r="F24" s="26">
        <f t="shared" si="4"/>
        <v>91</v>
      </c>
      <c r="G24" s="26">
        <f t="shared" si="4"/>
        <v>14</v>
      </c>
      <c r="H24" s="26">
        <f t="shared" si="4"/>
        <v>990</v>
      </c>
    </row>
    <row r="25" ht="15.75" customHeight="1">
      <c r="A25" s="15" t="s">
        <v>123</v>
      </c>
      <c r="B25" s="26">
        <f t="shared" ref="B25:H25" si="5">sum(B18:B19)</f>
        <v>24</v>
      </c>
      <c r="C25" s="26">
        <f t="shared" si="5"/>
        <v>0</v>
      </c>
      <c r="D25" s="26">
        <f t="shared" si="5"/>
        <v>24</v>
      </c>
      <c r="E25" s="26">
        <f t="shared" si="5"/>
        <v>41</v>
      </c>
      <c r="F25" s="26">
        <f t="shared" si="5"/>
        <v>2</v>
      </c>
      <c r="G25" s="26">
        <f t="shared" si="5"/>
        <v>0</v>
      </c>
      <c r="H25" s="26">
        <f t="shared" si="5"/>
        <v>99</v>
      </c>
    </row>
    <row r="26" ht="15.75" customHeight="1">
      <c r="A26" s="13" t="s">
        <v>10</v>
      </c>
      <c r="B26" s="19">
        <f t="shared" ref="B26:H26" si="6">sum(B21:B25)</f>
        <v>315</v>
      </c>
      <c r="C26" s="19">
        <f t="shared" si="6"/>
        <v>168</v>
      </c>
      <c r="D26" s="19">
        <f t="shared" si="6"/>
        <v>483</v>
      </c>
      <c r="E26" s="19">
        <f t="shared" si="6"/>
        <v>5442</v>
      </c>
      <c r="F26" s="19">
        <f t="shared" si="6"/>
        <v>212</v>
      </c>
      <c r="G26" s="19">
        <f t="shared" si="6"/>
        <v>19</v>
      </c>
      <c r="H26" s="19">
        <f t="shared" si="6"/>
        <v>6320</v>
      </c>
    </row>
    <row r="27" ht="15.75" customHeight="1">
      <c r="A27" s="24" t="s">
        <v>133</v>
      </c>
    </row>
    <row r="28" ht="15.75" customHeight="1">
      <c r="A28" s="12" t="s">
        <v>100</v>
      </c>
    </row>
    <row r="29" ht="15.75" customHeight="1">
      <c r="A29" s="13" t="s">
        <v>134</v>
      </c>
    </row>
  </sheetData>
  <mergeCells count="6">
    <mergeCell ref="A1:H1"/>
    <mergeCell ref="A2:H2"/>
    <mergeCell ref="A3:H3"/>
    <mergeCell ref="A27:H27"/>
    <mergeCell ref="A28:H28"/>
    <mergeCell ref="A29:H29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9.63"/>
    <col customWidth="1" min="2" max="2" width="13.5"/>
    <col customWidth="1" min="3" max="8" width="16.13"/>
  </cols>
  <sheetData>
    <row r="1">
      <c r="A1" s="1" t="s">
        <v>135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4" t="s">
        <v>136</v>
      </c>
      <c r="H4" s="27" t="s">
        <v>10</v>
      </c>
    </row>
    <row r="5">
      <c r="A5" s="6" t="s">
        <v>94</v>
      </c>
      <c r="B5" s="7">
        <v>25.0</v>
      </c>
      <c r="C5" s="7">
        <v>8.0</v>
      </c>
      <c r="D5" s="7">
        <v>33.0</v>
      </c>
      <c r="E5" s="8">
        <v>1917.0</v>
      </c>
      <c r="F5" s="7">
        <v>59.0</v>
      </c>
      <c r="G5" s="7">
        <v>0.0</v>
      </c>
      <c r="H5" s="8">
        <v>2009.0</v>
      </c>
    </row>
    <row r="6">
      <c r="A6" s="6" t="s">
        <v>23</v>
      </c>
      <c r="B6" s="7">
        <v>16.0</v>
      </c>
      <c r="C6" s="7">
        <v>0.0</v>
      </c>
      <c r="D6" s="7">
        <v>16.0</v>
      </c>
      <c r="E6" s="7">
        <v>1122.0</v>
      </c>
      <c r="F6" s="7">
        <v>10.0</v>
      </c>
      <c r="G6" s="7">
        <v>0.0</v>
      </c>
      <c r="H6" s="7">
        <v>1216.0</v>
      </c>
    </row>
    <row r="7">
      <c r="A7" s="6" t="s">
        <v>77</v>
      </c>
      <c r="B7" s="7">
        <v>70.0</v>
      </c>
      <c r="C7" s="7">
        <v>18.0</v>
      </c>
      <c r="D7" s="7">
        <v>88.0</v>
      </c>
      <c r="E7" s="7">
        <v>235.0</v>
      </c>
      <c r="F7" s="7">
        <v>0.0</v>
      </c>
      <c r="G7" s="7">
        <v>0.0</v>
      </c>
      <c r="H7" s="7">
        <v>332.0</v>
      </c>
    </row>
    <row r="8">
      <c r="A8" s="6" t="s">
        <v>93</v>
      </c>
      <c r="B8" s="7">
        <v>21.0</v>
      </c>
      <c r="C8" s="7">
        <v>5.0</v>
      </c>
      <c r="D8" s="7">
        <v>26.0</v>
      </c>
      <c r="E8" s="7">
        <v>220.0</v>
      </c>
      <c r="F8" s="7">
        <v>73.0</v>
      </c>
      <c r="G8" s="7">
        <v>1.0</v>
      </c>
      <c r="H8" s="7">
        <v>320.0</v>
      </c>
    </row>
    <row r="9">
      <c r="A9" s="6" t="s">
        <v>27</v>
      </c>
      <c r="B9" s="7">
        <v>2.0</v>
      </c>
      <c r="C9" s="7">
        <v>0.0</v>
      </c>
      <c r="D9" s="7">
        <v>2.0</v>
      </c>
      <c r="E9" s="7">
        <v>280.0</v>
      </c>
      <c r="F9" s="7">
        <v>2.0</v>
      </c>
      <c r="G9" s="7">
        <v>0.0</v>
      </c>
      <c r="H9" s="7">
        <v>285.0</v>
      </c>
    </row>
    <row r="10">
      <c r="A10" s="6" t="s">
        <v>65</v>
      </c>
      <c r="B10" s="7">
        <v>4.0</v>
      </c>
      <c r="C10" s="7">
        <v>33.0</v>
      </c>
      <c r="D10" s="7">
        <v>37.0</v>
      </c>
      <c r="E10" s="7">
        <v>204.0</v>
      </c>
      <c r="F10" s="7">
        <v>23.0</v>
      </c>
      <c r="G10" s="7">
        <v>0.0</v>
      </c>
      <c r="H10" s="7">
        <v>265.0</v>
      </c>
    </row>
    <row r="11">
      <c r="A11" s="6" t="s">
        <v>26</v>
      </c>
      <c r="B11" s="8">
        <v>10.0</v>
      </c>
      <c r="C11" s="7">
        <v>9.0</v>
      </c>
      <c r="D11" s="8">
        <v>19.0</v>
      </c>
      <c r="E11" s="7">
        <v>242.0</v>
      </c>
      <c r="F11" s="7">
        <v>0.0</v>
      </c>
      <c r="G11" s="7">
        <v>0.0</v>
      </c>
      <c r="H11" s="7">
        <f>SUM(G11,F11,E11,C11,B11)</f>
        <v>261</v>
      </c>
    </row>
    <row r="12">
      <c r="A12" s="6" t="s">
        <v>57</v>
      </c>
      <c r="B12" s="7">
        <v>10.0</v>
      </c>
      <c r="C12" s="7">
        <v>9.0</v>
      </c>
      <c r="D12" s="7">
        <v>19.0</v>
      </c>
      <c r="E12" s="7">
        <v>200.0</v>
      </c>
      <c r="F12" s="7">
        <v>8.0</v>
      </c>
      <c r="G12" s="7">
        <v>0.0</v>
      </c>
      <c r="H12" s="7">
        <v>236.0</v>
      </c>
    </row>
    <row r="13">
      <c r="A13" s="6" t="s">
        <v>13</v>
      </c>
      <c r="B13" s="7">
        <v>0.0</v>
      </c>
      <c r="C13" s="7">
        <v>0.0</v>
      </c>
      <c r="D13" s="7">
        <v>0.0</v>
      </c>
      <c r="E13" s="7">
        <v>201.0</v>
      </c>
      <c r="F13" s="7">
        <v>2.0</v>
      </c>
      <c r="G13" s="7">
        <v>0.0</v>
      </c>
      <c r="H13" s="7">
        <v>203.0</v>
      </c>
    </row>
    <row r="14">
      <c r="A14" s="6" t="s">
        <v>14</v>
      </c>
      <c r="B14" s="7">
        <v>31.0</v>
      </c>
      <c r="C14" s="7">
        <v>2.0</v>
      </c>
      <c r="D14" s="7">
        <v>33.0</v>
      </c>
      <c r="E14" s="7">
        <v>103.0</v>
      </c>
      <c r="F14" s="7">
        <v>3.0</v>
      </c>
      <c r="G14" s="7">
        <v>0.0</v>
      </c>
      <c r="H14" s="7">
        <v>186.0</v>
      </c>
    </row>
    <row r="15">
      <c r="A15" s="6" t="s">
        <v>63</v>
      </c>
      <c r="B15" s="7">
        <v>14.0</v>
      </c>
      <c r="C15" s="7">
        <v>4.0</v>
      </c>
      <c r="D15" s="7">
        <v>18.0</v>
      </c>
      <c r="E15" s="7">
        <v>117.0</v>
      </c>
      <c r="F15" s="7">
        <v>15.0</v>
      </c>
      <c r="G15" s="7">
        <v>15.0</v>
      </c>
      <c r="H15" s="7">
        <v>165.0</v>
      </c>
    </row>
    <row r="16">
      <c r="A16" s="6" t="s">
        <v>20</v>
      </c>
      <c r="B16" s="7">
        <v>14.0</v>
      </c>
      <c r="C16" s="7">
        <v>11.0</v>
      </c>
      <c r="D16" s="7">
        <v>25.0</v>
      </c>
      <c r="E16" s="7">
        <v>121.0</v>
      </c>
      <c r="F16" s="7">
        <v>15.0</v>
      </c>
      <c r="G16" s="7">
        <v>1.0</v>
      </c>
      <c r="H16" s="7">
        <v>164.0</v>
      </c>
    </row>
    <row r="17">
      <c r="A17" s="6" t="s">
        <v>66</v>
      </c>
      <c r="B17" s="7">
        <v>31.0</v>
      </c>
      <c r="C17" s="7">
        <v>12.0</v>
      </c>
      <c r="D17" s="7">
        <v>43.0</v>
      </c>
      <c r="E17" s="7">
        <v>91.0</v>
      </c>
      <c r="F17" s="7">
        <v>4.0</v>
      </c>
      <c r="G17" s="7">
        <v>0.0</v>
      </c>
      <c r="H17" s="7">
        <v>139.0</v>
      </c>
    </row>
    <row r="18">
      <c r="A18" s="6" t="s">
        <v>96</v>
      </c>
      <c r="B18" s="7">
        <v>4.0</v>
      </c>
      <c r="C18" s="7">
        <v>0.0</v>
      </c>
      <c r="D18" s="7">
        <v>4.0</v>
      </c>
      <c r="E18" s="7">
        <v>132.0</v>
      </c>
      <c r="F18" s="7">
        <v>1.0</v>
      </c>
      <c r="G18" s="7">
        <v>0.0</v>
      </c>
      <c r="H18" s="7">
        <v>138.0</v>
      </c>
    </row>
    <row r="19">
      <c r="A19" s="6" t="s">
        <v>73</v>
      </c>
      <c r="B19" s="7">
        <v>15.0</v>
      </c>
      <c r="C19" s="7">
        <v>2.0</v>
      </c>
      <c r="D19" s="7">
        <v>17.0</v>
      </c>
      <c r="E19" s="7">
        <v>94.0</v>
      </c>
      <c r="F19" s="7">
        <v>0.0</v>
      </c>
      <c r="G19" s="7">
        <v>5.0</v>
      </c>
      <c r="H19" s="7">
        <v>116.0</v>
      </c>
    </row>
    <row r="20">
      <c r="A20" s="6" t="s">
        <v>44</v>
      </c>
      <c r="B20" s="7">
        <v>7.0</v>
      </c>
      <c r="C20" s="7">
        <v>10.0</v>
      </c>
      <c r="D20" s="7">
        <v>17.0</v>
      </c>
      <c r="E20" s="7">
        <v>94.0</v>
      </c>
      <c r="F20" s="7">
        <v>0.0</v>
      </c>
      <c r="G20" s="7">
        <v>1.0</v>
      </c>
      <c r="H20" s="7">
        <v>114.0</v>
      </c>
    </row>
    <row r="21">
      <c r="A21" s="6" t="s">
        <v>33</v>
      </c>
      <c r="B21" s="7">
        <v>3.0</v>
      </c>
      <c r="C21" s="7">
        <v>4.0</v>
      </c>
      <c r="D21" s="7">
        <v>7.0</v>
      </c>
      <c r="E21" s="7">
        <v>78.0</v>
      </c>
      <c r="F21" s="7">
        <v>1.0</v>
      </c>
      <c r="G21" s="7">
        <v>0.0</v>
      </c>
      <c r="H21" s="7">
        <v>91.0</v>
      </c>
    </row>
    <row r="22">
      <c r="A22" s="6" t="s">
        <v>32</v>
      </c>
      <c r="B22" s="7">
        <v>1.0</v>
      </c>
      <c r="C22" s="7">
        <v>0.0</v>
      </c>
      <c r="D22" s="7">
        <v>1.0</v>
      </c>
      <c r="E22" s="7">
        <v>84.0</v>
      </c>
      <c r="F22" s="7">
        <v>5.0</v>
      </c>
      <c r="G22" s="7">
        <v>0.0</v>
      </c>
      <c r="H22" s="7">
        <v>90.0</v>
      </c>
    </row>
    <row r="23">
      <c r="A23" s="6" t="s">
        <v>43</v>
      </c>
      <c r="B23" s="7">
        <v>20.0</v>
      </c>
      <c r="C23" s="7">
        <v>9.0</v>
      </c>
      <c r="D23" s="7">
        <v>29.0</v>
      </c>
      <c r="E23" s="7">
        <v>50.0</v>
      </c>
      <c r="F23" s="7">
        <v>0.0</v>
      </c>
      <c r="G23" s="7">
        <v>2.0</v>
      </c>
      <c r="H23" s="7">
        <v>81.0</v>
      </c>
    </row>
    <row r="24" ht="15.75" customHeight="1">
      <c r="A24" s="6" t="s">
        <v>55</v>
      </c>
      <c r="B24" s="7">
        <v>11.0</v>
      </c>
      <c r="C24" s="7">
        <v>6.0</v>
      </c>
      <c r="D24" s="7">
        <v>17.0</v>
      </c>
      <c r="E24" s="7">
        <v>59.0</v>
      </c>
      <c r="F24" s="7">
        <v>0.0</v>
      </c>
      <c r="G24" s="7">
        <v>0.0</v>
      </c>
      <c r="H24" s="7">
        <v>78.0</v>
      </c>
    </row>
    <row r="25" ht="15.75" customHeight="1">
      <c r="A25" s="6" t="s">
        <v>12</v>
      </c>
      <c r="B25" s="7">
        <v>4.0</v>
      </c>
      <c r="C25" s="7">
        <v>4.0</v>
      </c>
      <c r="D25" s="7">
        <v>8.0</v>
      </c>
      <c r="E25" s="7">
        <v>67.0</v>
      </c>
      <c r="F25" s="7">
        <v>0.0</v>
      </c>
      <c r="G25" s="7">
        <v>0.0</v>
      </c>
      <c r="H25" s="7">
        <v>75.0</v>
      </c>
    </row>
    <row r="26" ht="15.75" customHeight="1">
      <c r="A26" s="6" t="s">
        <v>76</v>
      </c>
      <c r="B26" s="7">
        <v>0.0</v>
      </c>
      <c r="C26" s="7">
        <v>3.0</v>
      </c>
      <c r="D26" s="7">
        <v>3.0</v>
      </c>
      <c r="E26" s="7">
        <v>22.0</v>
      </c>
      <c r="F26" s="7">
        <v>0.0</v>
      </c>
      <c r="G26" s="7">
        <v>1.0</v>
      </c>
      <c r="H26" s="7">
        <v>66.0</v>
      </c>
    </row>
    <row r="27" ht="15.75" customHeight="1">
      <c r="A27" s="6" t="s">
        <v>45</v>
      </c>
      <c r="B27" s="7">
        <v>4.0</v>
      </c>
      <c r="C27" s="7">
        <v>8.0</v>
      </c>
      <c r="D27" s="7">
        <v>12.0</v>
      </c>
      <c r="E27" s="7">
        <v>47.0</v>
      </c>
      <c r="F27" s="7">
        <v>2.0</v>
      </c>
      <c r="G27" s="7">
        <v>0.0</v>
      </c>
      <c r="H27" s="7">
        <v>61.0</v>
      </c>
    </row>
    <row r="28" ht="15.75" customHeight="1">
      <c r="A28" s="6" t="s">
        <v>11</v>
      </c>
      <c r="B28" s="7">
        <v>3.0</v>
      </c>
      <c r="C28" s="7">
        <v>2.0</v>
      </c>
      <c r="D28" s="7">
        <v>5.0</v>
      </c>
      <c r="E28" s="7">
        <v>47.0</v>
      </c>
      <c r="F28" s="7">
        <v>0.0</v>
      </c>
      <c r="G28" s="7">
        <v>0.0</v>
      </c>
      <c r="H28" s="7">
        <v>54.0</v>
      </c>
    </row>
    <row r="29" ht="15.75" customHeight="1">
      <c r="A29" s="6" t="s">
        <v>37</v>
      </c>
      <c r="B29" s="7">
        <v>0.0</v>
      </c>
      <c r="C29" s="7">
        <v>0.0</v>
      </c>
      <c r="D29" s="7">
        <v>0.0</v>
      </c>
      <c r="E29" s="7">
        <v>49.0</v>
      </c>
      <c r="F29" s="7">
        <v>0.0</v>
      </c>
      <c r="G29" s="7">
        <v>0.0</v>
      </c>
      <c r="H29" s="7">
        <v>51.0</v>
      </c>
    </row>
    <row r="30" ht="15.75" customHeight="1">
      <c r="A30" s="6" t="s">
        <v>54</v>
      </c>
      <c r="B30" s="7">
        <v>2.0</v>
      </c>
      <c r="C30" s="7">
        <v>4.0</v>
      </c>
      <c r="D30" s="7">
        <v>6.0</v>
      </c>
      <c r="E30" s="7">
        <v>40.0</v>
      </c>
      <c r="F30" s="7">
        <v>4.0</v>
      </c>
      <c r="G30" s="7">
        <v>0.0</v>
      </c>
      <c r="H30" s="7">
        <v>51.0</v>
      </c>
    </row>
    <row r="31" ht="15.75" customHeight="1">
      <c r="A31" s="6" t="s">
        <v>51</v>
      </c>
      <c r="B31" s="7">
        <v>4.0</v>
      </c>
      <c r="C31" s="7">
        <v>1.0</v>
      </c>
      <c r="D31" s="7">
        <v>5.0</v>
      </c>
      <c r="E31" s="7">
        <v>39.0</v>
      </c>
      <c r="F31" s="7">
        <v>0.0</v>
      </c>
      <c r="G31" s="7">
        <v>0.0</v>
      </c>
      <c r="H31" s="7">
        <v>48.0</v>
      </c>
    </row>
    <row r="32" ht="15.75" customHeight="1">
      <c r="A32" s="6" t="s">
        <v>92</v>
      </c>
      <c r="B32" s="7">
        <v>2.0</v>
      </c>
      <c r="C32" s="7">
        <v>8.0</v>
      </c>
      <c r="D32" s="7">
        <v>10.0</v>
      </c>
      <c r="E32" s="7">
        <v>35.0</v>
      </c>
      <c r="F32" s="7">
        <v>1.0</v>
      </c>
      <c r="G32" s="7">
        <v>0.0</v>
      </c>
      <c r="H32" s="7">
        <v>47.0</v>
      </c>
    </row>
    <row r="33" ht="15.75" customHeight="1">
      <c r="A33" s="6" t="s">
        <v>85</v>
      </c>
      <c r="B33" s="7">
        <v>1.0</v>
      </c>
      <c r="C33" s="7">
        <v>0.0</v>
      </c>
      <c r="D33" s="7">
        <v>1.0</v>
      </c>
      <c r="E33" s="7">
        <v>40.0</v>
      </c>
      <c r="F33" s="7">
        <v>3.0</v>
      </c>
      <c r="G33" s="7">
        <v>0.0</v>
      </c>
      <c r="H33" s="7">
        <v>46.0</v>
      </c>
    </row>
    <row r="34" ht="15.75" customHeight="1">
      <c r="A34" s="6" t="s">
        <v>67</v>
      </c>
      <c r="B34" s="7">
        <v>3.0</v>
      </c>
      <c r="C34" s="7">
        <v>1.0</v>
      </c>
      <c r="D34" s="7">
        <v>4.0</v>
      </c>
      <c r="E34" s="7">
        <v>35.0</v>
      </c>
      <c r="F34" s="7">
        <v>0.0</v>
      </c>
      <c r="G34" s="7">
        <v>0.0</v>
      </c>
      <c r="H34" s="7">
        <v>40.0</v>
      </c>
    </row>
    <row r="35" ht="15.75" customHeight="1">
      <c r="A35" s="6" t="s">
        <v>68</v>
      </c>
      <c r="B35" s="7">
        <v>1.0</v>
      </c>
      <c r="C35" s="7">
        <v>1.0</v>
      </c>
      <c r="D35" s="7">
        <v>2.0</v>
      </c>
      <c r="E35" s="7">
        <v>33.0</v>
      </c>
      <c r="F35" s="7">
        <v>1.0</v>
      </c>
      <c r="G35" s="7">
        <v>0.0</v>
      </c>
      <c r="H35" s="7">
        <v>37.0</v>
      </c>
    </row>
    <row r="36" ht="15.75" customHeight="1">
      <c r="A36" s="6" t="s">
        <v>48</v>
      </c>
      <c r="B36" s="7">
        <v>0.0</v>
      </c>
      <c r="C36" s="7">
        <v>0.0</v>
      </c>
      <c r="D36" s="7">
        <v>0.0</v>
      </c>
      <c r="E36" s="7">
        <v>32.0</v>
      </c>
      <c r="F36" s="7">
        <v>0.0</v>
      </c>
      <c r="G36" s="7">
        <v>0.0</v>
      </c>
      <c r="H36" s="7">
        <v>36.0</v>
      </c>
    </row>
    <row r="37" ht="15.75" customHeight="1">
      <c r="A37" s="6" t="s">
        <v>87</v>
      </c>
      <c r="B37" s="7">
        <v>2.0</v>
      </c>
      <c r="C37" s="7">
        <v>3.0</v>
      </c>
      <c r="D37" s="7">
        <v>5.0</v>
      </c>
      <c r="E37" s="7">
        <v>28.0</v>
      </c>
      <c r="F37" s="7">
        <v>0.0</v>
      </c>
      <c r="G37" s="7">
        <v>0.0</v>
      </c>
      <c r="H37" s="7">
        <v>36.0</v>
      </c>
    </row>
    <row r="38" ht="15.75" customHeight="1">
      <c r="A38" s="6" t="s">
        <v>78</v>
      </c>
      <c r="B38" s="7">
        <v>0.0</v>
      </c>
      <c r="C38" s="7">
        <v>4.0</v>
      </c>
      <c r="D38" s="7">
        <v>4.0</v>
      </c>
      <c r="E38" s="7">
        <v>24.0</v>
      </c>
      <c r="F38" s="7">
        <v>0.0</v>
      </c>
      <c r="G38" s="7">
        <v>1.0</v>
      </c>
      <c r="H38" s="7">
        <v>29.0</v>
      </c>
    </row>
    <row r="39" ht="15.75" customHeight="1">
      <c r="A39" s="6" t="s">
        <v>53</v>
      </c>
      <c r="B39" s="7">
        <v>4.0</v>
      </c>
      <c r="C39" s="7">
        <v>1.0</v>
      </c>
      <c r="D39" s="7">
        <v>5.0</v>
      </c>
      <c r="E39" s="7">
        <v>20.0</v>
      </c>
      <c r="F39" s="7">
        <v>0.0</v>
      </c>
      <c r="G39" s="7">
        <v>0.0</v>
      </c>
      <c r="H39" s="7">
        <v>27.0</v>
      </c>
    </row>
    <row r="40" ht="15.75" customHeight="1">
      <c r="A40" s="6" t="s">
        <v>74</v>
      </c>
      <c r="B40" s="7">
        <v>0.0</v>
      </c>
      <c r="C40" s="7">
        <v>3.0</v>
      </c>
      <c r="D40" s="7">
        <v>3.0</v>
      </c>
      <c r="E40" s="7">
        <v>22.0</v>
      </c>
      <c r="F40" s="7">
        <v>0.0</v>
      </c>
      <c r="G40" s="7">
        <v>0.0</v>
      </c>
      <c r="H40" s="7">
        <v>25.0</v>
      </c>
    </row>
    <row r="41" ht="15.75" customHeight="1">
      <c r="A41" s="6" t="s">
        <v>97</v>
      </c>
      <c r="B41" s="7">
        <v>6.0</v>
      </c>
      <c r="C41" s="7">
        <v>7.0</v>
      </c>
      <c r="D41" s="7">
        <v>13.0</v>
      </c>
      <c r="E41" s="7">
        <v>12.0</v>
      </c>
      <c r="F41" s="7">
        <v>0.0</v>
      </c>
      <c r="G41" s="7">
        <v>0.0</v>
      </c>
      <c r="H41" s="7">
        <v>25.0</v>
      </c>
    </row>
    <row r="42" ht="15.75" customHeight="1">
      <c r="A42" s="6" t="s">
        <v>31</v>
      </c>
      <c r="B42" s="7">
        <v>6.0</v>
      </c>
      <c r="C42" s="7">
        <v>0.0</v>
      </c>
      <c r="D42" s="7">
        <v>6.0</v>
      </c>
      <c r="E42" s="7">
        <v>12.0</v>
      </c>
      <c r="F42" s="7">
        <v>3.0</v>
      </c>
      <c r="G42" s="7">
        <v>0.0</v>
      </c>
      <c r="H42" s="7">
        <v>24.0</v>
      </c>
    </row>
    <row r="43" ht="15.75" customHeight="1">
      <c r="A43" s="6" t="s">
        <v>83</v>
      </c>
      <c r="B43" s="7">
        <v>2.0</v>
      </c>
      <c r="C43" s="7">
        <v>0.0</v>
      </c>
      <c r="D43" s="7">
        <v>2.0</v>
      </c>
      <c r="E43" s="7">
        <v>22.0</v>
      </c>
      <c r="F43" s="7">
        <v>0.0</v>
      </c>
      <c r="G43" s="7">
        <v>0.0</v>
      </c>
      <c r="H43" s="7">
        <v>24.0</v>
      </c>
    </row>
    <row r="44" ht="15.75" customHeight="1">
      <c r="A44" s="6" t="s">
        <v>40</v>
      </c>
      <c r="B44" s="7">
        <v>14.0</v>
      </c>
      <c r="C44" s="7">
        <v>5.0</v>
      </c>
      <c r="D44" s="7">
        <v>19.0</v>
      </c>
      <c r="E44" s="7">
        <v>4.0</v>
      </c>
      <c r="F44" s="7">
        <v>0.0</v>
      </c>
      <c r="G44" s="7">
        <v>0.0</v>
      </c>
      <c r="H44" s="7">
        <v>23.0</v>
      </c>
    </row>
    <row r="45" ht="15.75" customHeight="1">
      <c r="A45" s="6" t="s">
        <v>89</v>
      </c>
      <c r="B45" s="7">
        <v>1.0</v>
      </c>
      <c r="C45" s="7">
        <v>0.0</v>
      </c>
      <c r="D45" s="7">
        <v>1.0</v>
      </c>
      <c r="E45" s="7">
        <v>9.0</v>
      </c>
      <c r="F45" s="7">
        <v>0.0</v>
      </c>
      <c r="G45" s="7">
        <v>0.0</v>
      </c>
      <c r="H45" s="7">
        <v>23.0</v>
      </c>
    </row>
    <row r="46" ht="15.75" customHeight="1">
      <c r="A46" s="6" t="s">
        <v>16</v>
      </c>
      <c r="B46" s="7">
        <v>4.0</v>
      </c>
      <c r="C46" s="7">
        <v>1.0</v>
      </c>
      <c r="D46" s="7">
        <v>5.0</v>
      </c>
      <c r="E46" s="7">
        <v>16.0</v>
      </c>
      <c r="F46" s="7">
        <v>0.0</v>
      </c>
      <c r="G46" s="7">
        <v>0.0</v>
      </c>
      <c r="H46" s="7">
        <v>22.0</v>
      </c>
    </row>
    <row r="47" ht="15.75" customHeight="1">
      <c r="A47" s="6" t="s">
        <v>84</v>
      </c>
      <c r="B47" s="7">
        <v>16.0</v>
      </c>
      <c r="C47" s="7">
        <v>0.0</v>
      </c>
      <c r="D47" s="7">
        <v>16.0</v>
      </c>
      <c r="E47" s="7">
        <v>4.0</v>
      </c>
      <c r="F47" s="7">
        <v>0.0</v>
      </c>
      <c r="G47" s="7">
        <v>0.0</v>
      </c>
      <c r="H47" s="7">
        <v>20.0</v>
      </c>
    </row>
    <row r="48" ht="15.75" customHeight="1">
      <c r="A48" s="6" t="s">
        <v>42</v>
      </c>
      <c r="B48" s="7">
        <v>0.0</v>
      </c>
      <c r="C48" s="7">
        <v>2.0</v>
      </c>
      <c r="D48" s="7">
        <v>2.0</v>
      </c>
      <c r="E48" s="7">
        <v>17.0</v>
      </c>
      <c r="F48" s="7">
        <v>0.0</v>
      </c>
      <c r="G48" s="7">
        <v>0.0</v>
      </c>
      <c r="H48" s="7">
        <v>19.0</v>
      </c>
    </row>
    <row r="49" ht="15.75" customHeight="1">
      <c r="A49" s="6" t="s">
        <v>95</v>
      </c>
      <c r="B49" s="7">
        <v>2.0</v>
      </c>
      <c r="C49" s="7">
        <v>1.0</v>
      </c>
      <c r="D49" s="7">
        <v>3.0</v>
      </c>
      <c r="E49" s="7">
        <v>15.0</v>
      </c>
      <c r="F49" s="7">
        <v>0.0</v>
      </c>
      <c r="G49" s="7">
        <v>0.0</v>
      </c>
      <c r="H49" s="7">
        <v>18.0</v>
      </c>
    </row>
    <row r="50" ht="15.75" customHeight="1">
      <c r="A50" s="6" t="s">
        <v>75</v>
      </c>
      <c r="B50" s="7">
        <v>0.0</v>
      </c>
      <c r="C50" s="7">
        <v>3.0</v>
      </c>
      <c r="D50" s="7">
        <v>3.0</v>
      </c>
      <c r="E50" s="7">
        <v>13.0</v>
      </c>
      <c r="F50" s="7">
        <v>0.0</v>
      </c>
      <c r="G50" s="7">
        <v>0.0</v>
      </c>
      <c r="H50" s="7">
        <v>16.0</v>
      </c>
    </row>
    <row r="51" ht="15.75" customHeight="1">
      <c r="A51" s="6" t="s">
        <v>91</v>
      </c>
      <c r="B51" s="7">
        <v>0.0</v>
      </c>
      <c r="C51" s="7">
        <v>0.0</v>
      </c>
      <c r="D51" s="7">
        <v>0.0</v>
      </c>
      <c r="E51" s="7">
        <v>16.0</v>
      </c>
      <c r="F51" s="7">
        <v>0.0</v>
      </c>
      <c r="G51" s="7">
        <v>0.0</v>
      </c>
      <c r="H51" s="7">
        <v>16.0</v>
      </c>
    </row>
    <row r="52" ht="15.75" customHeight="1">
      <c r="A52" s="6" t="s">
        <v>46</v>
      </c>
      <c r="B52" s="7">
        <v>13.0</v>
      </c>
      <c r="C52" s="7">
        <v>0.0</v>
      </c>
      <c r="D52" s="7">
        <v>13.0</v>
      </c>
      <c r="E52" s="7">
        <v>1.0</v>
      </c>
      <c r="F52" s="7">
        <v>0.0</v>
      </c>
      <c r="G52" s="7">
        <v>1.0</v>
      </c>
      <c r="H52" s="7">
        <v>15.0</v>
      </c>
    </row>
    <row r="53" ht="15.75" customHeight="1">
      <c r="A53" s="6" t="s">
        <v>47</v>
      </c>
      <c r="B53" s="7">
        <v>5.0</v>
      </c>
      <c r="C53" s="7">
        <v>4.0</v>
      </c>
      <c r="D53" s="7">
        <v>9.0</v>
      </c>
      <c r="E53" s="7">
        <v>4.0</v>
      </c>
      <c r="F53" s="7">
        <v>1.0</v>
      </c>
      <c r="G53" s="7">
        <v>0.0</v>
      </c>
      <c r="H53" s="7">
        <v>15.0</v>
      </c>
    </row>
    <row r="54" ht="15.75" customHeight="1">
      <c r="A54" s="6" t="s">
        <v>19</v>
      </c>
      <c r="B54" s="7">
        <v>3.0</v>
      </c>
      <c r="C54" s="7">
        <v>0.0</v>
      </c>
      <c r="D54" s="7">
        <v>3.0</v>
      </c>
      <c r="E54" s="7">
        <v>8.0</v>
      </c>
      <c r="F54" s="7">
        <v>0.0</v>
      </c>
      <c r="G54" s="7">
        <v>2.0</v>
      </c>
      <c r="H54" s="7">
        <v>13.0</v>
      </c>
    </row>
    <row r="55" ht="15.75" customHeight="1">
      <c r="A55" s="6" t="s">
        <v>21</v>
      </c>
      <c r="B55" s="7">
        <v>2.0</v>
      </c>
      <c r="C55" s="7">
        <v>2.0</v>
      </c>
      <c r="D55" s="7">
        <v>4.0</v>
      </c>
      <c r="E55" s="7">
        <v>8.0</v>
      </c>
      <c r="F55" s="7">
        <v>0.0</v>
      </c>
      <c r="G55" s="7">
        <v>0.0</v>
      </c>
      <c r="H55" s="7">
        <v>12.0</v>
      </c>
    </row>
    <row r="56" ht="15.75" customHeight="1">
      <c r="A56" s="6" t="s">
        <v>24</v>
      </c>
      <c r="B56" s="7">
        <v>0.0</v>
      </c>
      <c r="C56" s="7">
        <v>0.0</v>
      </c>
      <c r="D56" s="7">
        <v>0.0</v>
      </c>
      <c r="E56" s="7">
        <v>10.0</v>
      </c>
      <c r="F56" s="7">
        <v>0.0</v>
      </c>
      <c r="G56" s="7">
        <v>0.0</v>
      </c>
      <c r="H56" s="7">
        <v>10.0</v>
      </c>
    </row>
    <row r="57" ht="15.75" customHeight="1">
      <c r="A57" s="6" t="s">
        <v>60</v>
      </c>
      <c r="B57" s="7">
        <v>1.0</v>
      </c>
      <c r="C57" s="7">
        <v>4.0</v>
      </c>
      <c r="D57" s="7">
        <v>5.0</v>
      </c>
      <c r="E57" s="7">
        <v>5.0</v>
      </c>
      <c r="F57" s="7">
        <v>0.0</v>
      </c>
      <c r="G57" s="7">
        <v>0.0</v>
      </c>
      <c r="H57" s="7">
        <v>10.0</v>
      </c>
    </row>
    <row r="58" ht="15.75" customHeight="1">
      <c r="A58" s="6" t="s">
        <v>71</v>
      </c>
      <c r="B58" s="7">
        <v>0.0</v>
      </c>
      <c r="C58" s="7">
        <v>2.0</v>
      </c>
      <c r="D58" s="7">
        <v>2.0</v>
      </c>
      <c r="E58" s="7">
        <v>8.0</v>
      </c>
      <c r="F58" s="7">
        <v>0.0</v>
      </c>
      <c r="G58" s="7">
        <v>0.0</v>
      </c>
      <c r="H58" s="7">
        <v>10.0</v>
      </c>
    </row>
    <row r="59" ht="15.75" customHeight="1">
      <c r="A59" s="6" t="s">
        <v>90</v>
      </c>
      <c r="B59" s="7">
        <v>3.0</v>
      </c>
      <c r="C59" s="7">
        <v>1.0</v>
      </c>
      <c r="D59" s="7">
        <v>4.0</v>
      </c>
      <c r="E59" s="7">
        <v>6.0</v>
      </c>
      <c r="F59" s="7">
        <v>0.0</v>
      </c>
      <c r="G59" s="7">
        <v>0.0</v>
      </c>
      <c r="H59" s="7">
        <v>10.0</v>
      </c>
    </row>
    <row r="60" ht="15.75" customHeight="1">
      <c r="A60" s="6" t="s">
        <v>28</v>
      </c>
      <c r="B60" s="7">
        <v>2.0</v>
      </c>
      <c r="C60" s="7">
        <v>0.0</v>
      </c>
      <c r="D60" s="7">
        <v>2.0</v>
      </c>
      <c r="E60" s="7">
        <v>6.0</v>
      </c>
      <c r="F60" s="7">
        <v>0.0</v>
      </c>
      <c r="G60" s="7">
        <v>0.0</v>
      </c>
      <c r="H60" s="7">
        <v>8.0</v>
      </c>
    </row>
    <row r="61" ht="15.75" customHeight="1">
      <c r="A61" s="6" t="s">
        <v>18</v>
      </c>
      <c r="B61" s="7">
        <v>1.0</v>
      </c>
      <c r="C61" s="7">
        <v>0.0</v>
      </c>
      <c r="D61" s="7">
        <v>1.0</v>
      </c>
      <c r="E61" s="7">
        <v>6.0</v>
      </c>
      <c r="F61" s="7">
        <v>0.0</v>
      </c>
      <c r="G61" s="7">
        <v>0.0</v>
      </c>
      <c r="H61" s="7">
        <v>7.0</v>
      </c>
    </row>
    <row r="62" ht="15.75" customHeight="1">
      <c r="A62" s="6" t="s">
        <v>30</v>
      </c>
      <c r="B62" s="7">
        <v>2.0</v>
      </c>
      <c r="C62" s="7">
        <v>0.0</v>
      </c>
      <c r="D62" s="7">
        <v>2.0</v>
      </c>
      <c r="E62" s="7">
        <v>4.0</v>
      </c>
      <c r="F62" s="7">
        <v>1.0</v>
      </c>
      <c r="G62" s="7">
        <v>0.0</v>
      </c>
      <c r="H62" s="7">
        <v>7.0</v>
      </c>
    </row>
    <row r="63" ht="15.75" customHeight="1">
      <c r="A63" s="6" t="s">
        <v>62</v>
      </c>
      <c r="B63" s="7">
        <v>7.0</v>
      </c>
      <c r="C63" s="7">
        <v>0.0</v>
      </c>
      <c r="D63" s="7">
        <v>7.0</v>
      </c>
      <c r="E63" s="7">
        <v>0.0</v>
      </c>
      <c r="F63" s="7">
        <v>0.0</v>
      </c>
      <c r="G63" s="7">
        <v>0.0</v>
      </c>
      <c r="H63" s="7">
        <v>7.0</v>
      </c>
    </row>
    <row r="64" ht="15.75" customHeight="1">
      <c r="A64" s="6" t="s">
        <v>64</v>
      </c>
      <c r="B64" s="7">
        <v>0.0</v>
      </c>
      <c r="C64" s="7">
        <v>0.0</v>
      </c>
      <c r="D64" s="7">
        <v>0.0</v>
      </c>
      <c r="E64" s="7">
        <v>7.0</v>
      </c>
      <c r="F64" s="7">
        <v>0.0</v>
      </c>
      <c r="G64" s="7">
        <v>0.0</v>
      </c>
      <c r="H64" s="7">
        <v>7.0</v>
      </c>
    </row>
    <row r="65" ht="15.75" customHeight="1">
      <c r="A65" s="6" t="s">
        <v>126</v>
      </c>
      <c r="B65" s="7">
        <v>0.0</v>
      </c>
      <c r="C65" s="7">
        <v>0.0</v>
      </c>
      <c r="D65" s="7">
        <v>0.0</v>
      </c>
      <c r="E65" s="7">
        <v>6.0</v>
      </c>
      <c r="F65" s="7">
        <v>0.0</v>
      </c>
      <c r="G65" s="7">
        <v>0.0</v>
      </c>
      <c r="H65" s="7">
        <v>6.0</v>
      </c>
    </row>
    <row r="66" ht="15.75" customHeight="1">
      <c r="A66" s="6" t="s">
        <v>82</v>
      </c>
      <c r="B66" s="7">
        <v>1.0</v>
      </c>
      <c r="C66" s="7">
        <v>4.0</v>
      </c>
      <c r="D66" s="7">
        <v>5.0</v>
      </c>
      <c r="E66" s="7">
        <v>1.0</v>
      </c>
      <c r="F66" s="7">
        <v>0.0</v>
      </c>
      <c r="G66" s="7">
        <v>0.0</v>
      </c>
      <c r="H66" s="7">
        <v>6.0</v>
      </c>
    </row>
    <row r="67" ht="15.75" customHeight="1">
      <c r="A67" s="6" t="s">
        <v>29</v>
      </c>
      <c r="B67" s="7">
        <v>5.0</v>
      </c>
      <c r="C67" s="7">
        <v>0.0</v>
      </c>
      <c r="D67" s="7">
        <v>5.0</v>
      </c>
      <c r="E67" s="7">
        <v>0.0</v>
      </c>
      <c r="F67" s="7">
        <v>0.0</v>
      </c>
      <c r="G67" s="7">
        <v>0.0</v>
      </c>
      <c r="H67" s="7">
        <v>5.0</v>
      </c>
    </row>
    <row r="68" ht="15.75" customHeight="1">
      <c r="A68" s="6" t="s">
        <v>127</v>
      </c>
      <c r="B68" s="7">
        <v>0.0</v>
      </c>
      <c r="C68" s="7">
        <v>0.0</v>
      </c>
      <c r="D68" s="7">
        <v>0.0</v>
      </c>
      <c r="E68" s="7">
        <v>5.0</v>
      </c>
      <c r="F68" s="7">
        <v>0.0</v>
      </c>
      <c r="G68" s="7">
        <v>0.0</v>
      </c>
      <c r="H68" s="7">
        <v>5.0</v>
      </c>
    </row>
    <row r="69" ht="15.75" customHeight="1">
      <c r="A69" s="6" t="s">
        <v>88</v>
      </c>
      <c r="B69" s="7">
        <v>0.0</v>
      </c>
      <c r="C69" s="7">
        <v>0.0</v>
      </c>
      <c r="D69" s="7">
        <v>0.0</v>
      </c>
      <c r="E69" s="7">
        <v>5.0</v>
      </c>
      <c r="F69" s="7">
        <v>0.0</v>
      </c>
      <c r="G69" s="7">
        <v>0.0</v>
      </c>
      <c r="H69" s="7">
        <v>5.0</v>
      </c>
    </row>
    <row r="70" ht="15.75" customHeight="1">
      <c r="A70" s="6" t="s">
        <v>15</v>
      </c>
      <c r="B70" s="7">
        <v>2.0</v>
      </c>
      <c r="C70" s="7">
        <v>0.0</v>
      </c>
      <c r="D70" s="7">
        <v>2.0</v>
      </c>
      <c r="E70" s="7">
        <v>2.0</v>
      </c>
      <c r="F70" s="7">
        <v>0.0</v>
      </c>
      <c r="G70" s="7">
        <v>0.0</v>
      </c>
      <c r="H70" s="7">
        <v>4.0</v>
      </c>
    </row>
    <row r="71" ht="15.75" customHeight="1">
      <c r="A71" s="6" t="s">
        <v>34</v>
      </c>
      <c r="B71" s="7">
        <v>2.0</v>
      </c>
      <c r="C71" s="7">
        <v>0.0</v>
      </c>
      <c r="D71" s="7">
        <v>2.0</v>
      </c>
      <c r="E71" s="7">
        <v>0.0</v>
      </c>
      <c r="F71" s="7">
        <v>2.0</v>
      </c>
      <c r="G71" s="7">
        <v>0.0</v>
      </c>
      <c r="H71" s="7">
        <v>4.0</v>
      </c>
    </row>
    <row r="72" ht="15.75" customHeight="1">
      <c r="A72" s="6" t="s">
        <v>128</v>
      </c>
      <c r="B72" s="7">
        <v>0.0</v>
      </c>
      <c r="C72" s="7">
        <v>0.0</v>
      </c>
      <c r="D72" s="7">
        <v>0.0</v>
      </c>
      <c r="E72" s="7">
        <v>4.0</v>
      </c>
      <c r="F72" s="7">
        <v>0.0</v>
      </c>
      <c r="G72" s="7">
        <v>0.0</v>
      </c>
      <c r="H72" s="7">
        <v>4.0</v>
      </c>
    </row>
    <row r="73" ht="15.75" customHeight="1">
      <c r="A73" s="6" t="s">
        <v>56</v>
      </c>
      <c r="B73" s="7">
        <v>2.0</v>
      </c>
      <c r="C73" s="7">
        <v>0.0</v>
      </c>
      <c r="D73" s="7">
        <v>2.0</v>
      </c>
      <c r="E73" s="7">
        <v>1.0</v>
      </c>
      <c r="F73" s="7">
        <v>0.0</v>
      </c>
      <c r="G73" s="7">
        <v>0.0</v>
      </c>
      <c r="H73" s="7">
        <v>4.0</v>
      </c>
    </row>
    <row r="74" ht="15.75" customHeight="1">
      <c r="A74" s="6" t="s">
        <v>61</v>
      </c>
      <c r="B74" s="7">
        <v>1.0</v>
      </c>
      <c r="C74" s="7">
        <v>1.0</v>
      </c>
      <c r="D74" s="7">
        <v>2.0</v>
      </c>
      <c r="E74" s="7">
        <v>1.0</v>
      </c>
      <c r="F74" s="7">
        <v>0.0</v>
      </c>
      <c r="G74" s="7">
        <v>1.0</v>
      </c>
      <c r="H74" s="7">
        <v>4.0</v>
      </c>
    </row>
    <row r="75" ht="15.75" customHeight="1">
      <c r="A75" s="6" t="s">
        <v>70</v>
      </c>
      <c r="B75" s="7">
        <v>4.0</v>
      </c>
      <c r="C75" s="7">
        <v>0.0</v>
      </c>
      <c r="D75" s="7">
        <v>4.0</v>
      </c>
      <c r="E75" s="7">
        <v>0.0</v>
      </c>
      <c r="F75" s="7">
        <v>0.0</v>
      </c>
      <c r="G75" s="7">
        <v>0.0</v>
      </c>
      <c r="H75" s="7">
        <v>4.0</v>
      </c>
    </row>
    <row r="76" ht="15.75" customHeight="1">
      <c r="A76" s="6" t="s">
        <v>80</v>
      </c>
      <c r="B76" s="7">
        <v>2.0</v>
      </c>
      <c r="C76" s="7">
        <v>2.0</v>
      </c>
      <c r="D76" s="7">
        <v>4.0</v>
      </c>
      <c r="E76" s="7">
        <v>0.0</v>
      </c>
      <c r="F76" s="7">
        <v>0.0</v>
      </c>
      <c r="G76" s="7">
        <v>0.0</v>
      </c>
      <c r="H76" s="7">
        <v>4.0</v>
      </c>
    </row>
    <row r="77" ht="15.75" customHeight="1">
      <c r="A77" s="6" t="s">
        <v>22</v>
      </c>
      <c r="B77" s="7">
        <v>1.0</v>
      </c>
      <c r="C77" s="7">
        <v>0.0</v>
      </c>
      <c r="D77" s="7">
        <v>1.0</v>
      </c>
      <c r="E77" s="7">
        <v>2.0</v>
      </c>
      <c r="F77" s="7">
        <v>0.0</v>
      </c>
      <c r="G77" s="7">
        <v>0.0</v>
      </c>
      <c r="H77" s="7">
        <v>3.0</v>
      </c>
    </row>
    <row r="78" ht="15.75" customHeight="1">
      <c r="A78" s="6" t="s">
        <v>38</v>
      </c>
      <c r="B78" s="7">
        <v>2.0</v>
      </c>
      <c r="C78" s="7">
        <v>0.0</v>
      </c>
      <c r="D78" s="7">
        <v>2.0</v>
      </c>
      <c r="E78" s="7">
        <v>1.0</v>
      </c>
      <c r="F78" s="7">
        <v>0.0</v>
      </c>
      <c r="G78" s="7">
        <v>0.0</v>
      </c>
      <c r="H78" s="7">
        <v>3.0</v>
      </c>
    </row>
    <row r="79" ht="15.75" customHeight="1">
      <c r="A79" s="6" t="s">
        <v>41</v>
      </c>
      <c r="B79" s="7">
        <v>0.0</v>
      </c>
      <c r="C79" s="7">
        <v>0.0</v>
      </c>
      <c r="D79" s="7">
        <v>0.0</v>
      </c>
      <c r="E79" s="7">
        <v>3.0</v>
      </c>
      <c r="F79" s="7">
        <v>0.0</v>
      </c>
      <c r="G79" s="7">
        <v>0.0</v>
      </c>
      <c r="H79" s="7">
        <v>3.0</v>
      </c>
    </row>
    <row r="80" ht="15.75" customHeight="1">
      <c r="A80" s="6" t="s">
        <v>17</v>
      </c>
      <c r="B80" s="7">
        <v>1.0</v>
      </c>
      <c r="C80" s="7">
        <v>0.0</v>
      </c>
      <c r="D80" s="7">
        <v>1.0</v>
      </c>
      <c r="E80" s="7">
        <v>1.0</v>
      </c>
      <c r="F80" s="7">
        <v>0.0</v>
      </c>
      <c r="G80" s="7">
        <v>0.0</v>
      </c>
      <c r="H80" s="7">
        <v>2.0</v>
      </c>
    </row>
    <row r="81" ht="15.75" customHeight="1">
      <c r="A81" s="6" t="s">
        <v>35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2.0</v>
      </c>
    </row>
    <row r="82" ht="15.75" customHeight="1">
      <c r="A82" s="6" t="s">
        <v>36</v>
      </c>
      <c r="B82" s="7">
        <v>0.0</v>
      </c>
      <c r="C82" s="7">
        <v>0.0</v>
      </c>
      <c r="D82" s="7">
        <v>0.0</v>
      </c>
      <c r="E82" s="7">
        <v>2.0</v>
      </c>
      <c r="F82" s="7">
        <v>0.0</v>
      </c>
      <c r="G82" s="7">
        <v>0.0</v>
      </c>
      <c r="H82" s="7">
        <v>2.0</v>
      </c>
    </row>
    <row r="83" ht="15.75" customHeight="1">
      <c r="A83" s="6" t="s">
        <v>52</v>
      </c>
      <c r="B83" s="7">
        <v>1.0</v>
      </c>
      <c r="C83" s="7">
        <v>1.0</v>
      </c>
      <c r="D83" s="7">
        <v>2.0</v>
      </c>
      <c r="E83" s="7">
        <v>0.0</v>
      </c>
      <c r="F83" s="7">
        <v>0.0</v>
      </c>
      <c r="G83" s="7">
        <v>0.0</v>
      </c>
      <c r="H83" s="7">
        <v>2.0</v>
      </c>
    </row>
    <row r="84" ht="15.75" customHeight="1">
      <c r="A84" s="6" t="s">
        <v>72</v>
      </c>
      <c r="B84" s="7">
        <v>0.0</v>
      </c>
      <c r="C84" s="7">
        <v>0.0</v>
      </c>
      <c r="D84" s="7">
        <v>0.0</v>
      </c>
      <c r="E84" s="7">
        <v>2.0</v>
      </c>
      <c r="F84" s="7">
        <v>0.0</v>
      </c>
      <c r="G84" s="7">
        <v>0.0</v>
      </c>
      <c r="H84" s="7">
        <v>2.0</v>
      </c>
    </row>
    <row r="85" ht="15.75" customHeight="1">
      <c r="A85" s="6" t="s">
        <v>79</v>
      </c>
      <c r="B85" s="7">
        <v>0.0</v>
      </c>
      <c r="C85" s="7">
        <v>0.0</v>
      </c>
      <c r="D85" s="7">
        <v>0.0</v>
      </c>
      <c r="E85" s="7">
        <v>2.0</v>
      </c>
      <c r="F85" s="7">
        <v>0.0</v>
      </c>
      <c r="G85" s="7">
        <v>0.0</v>
      </c>
      <c r="H85" s="7">
        <v>2.0</v>
      </c>
    </row>
    <row r="86" ht="15.75" customHeight="1">
      <c r="A86" s="6" t="s">
        <v>86</v>
      </c>
      <c r="B86" s="7">
        <v>0.0</v>
      </c>
      <c r="C86" s="7">
        <v>0.0</v>
      </c>
      <c r="D86" s="7">
        <v>0.0</v>
      </c>
      <c r="E86" s="7">
        <v>1.0</v>
      </c>
      <c r="F86" s="7">
        <v>1.0</v>
      </c>
      <c r="G86" s="7">
        <v>0.0</v>
      </c>
      <c r="H86" s="7">
        <v>2.0</v>
      </c>
    </row>
    <row r="87" ht="15.75" customHeight="1">
      <c r="A87" s="6" t="s">
        <v>129</v>
      </c>
      <c r="B87" s="7">
        <v>0.0</v>
      </c>
      <c r="C87" s="7">
        <v>2.0</v>
      </c>
      <c r="D87" s="7">
        <v>2.0</v>
      </c>
      <c r="E87" s="7">
        <v>0.0</v>
      </c>
      <c r="F87" s="7">
        <v>0.0</v>
      </c>
      <c r="G87" s="7">
        <v>0.0</v>
      </c>
      <c r="H87" s="7">
        <v>2.0</v>
      </c>
    </row>
    <row r="88" ht="15.75" customHeight="1">
      <c r="A88" s="6" t="s">
        <v>130</v>
      </c>
      <c r="B88" s="7">
        <v>0.0</v>
      </c>
      <c r="C88" s="7">
        <v>0.0</v>
      </c>
      <c r="D88" s="7">
        <v>0.0</v>
      </c>
      <c r="E88" s="7">
        <v>1.0</v>
      </c>
      <c r="F88" s="7">
        <v>0.0</v>
      </c>
      <c r="G88" s="7">
        <v>0.0</v>
      </c>
      <c r="H88" s="7">
        <v>1.0</v>
      </c>
    </row>
    <row r="89" ht="15.75" customHeight="1">
      <c r="A89" s="6" t="s">
        <v>25</v>
      </c>
      <c r="B89" s="7">
        <v>0.0</v>
      </c>
      <c r="C89" s="7">
        <v>0.0</v>
      </c>
      <c r="D89" s="7">
        <v>0.0</v>
      </c>
      <c r="E89" s="7">
        <v>1.0</v>
      </c>
      <c r="F89" s="7">
        <v>0.0</v>
      </c>
      <c r="G89" s="7">
        <v>0.0</v>
      </c>
      <c r="H89" s="7">
        <v>1.0</v>
      </c>
    </row>
    <row r="90" ht="15.75" customHeight="1">
      <c r="A90" s="6" t="s">
        <v>39</v>
      </c>
      <c r="B90" s="7">
        <v>1.0</v>
      </c>
      <c r="C90" s="7">
        <v>0.0</v>
      </c>
      <c r="D90" s="7">
        <v>1.0</v>
      </c>
      <c r="E90" s="7">
        <v>0.0</v>
      </c>
      <c r="F90" s="7">
        <v>0.0</v>
      </c>
      <c r="G90" s="7">
        <v>0.0</v>
      </c>
      <c r="H90" s="7">
        <v>1.0</v>
      </c>
    </row>
    <row r="91" ht="15.75" customHeight="1">
      <c r="A91" s="6" t="s">
        <v>49</v>
      </c>
      <c r="B91" s="7">
        <v>0.0</v>
      </c>
      <c r="C91" s="7">
        <v>0.0</v>
      </c>
      <c r="D91" s="7">
        <v>0.0</v>
      </c>
      <c r="E91" s="7">
        <v>1.0</v>
      </c>
      <c r="F91" s="7">
        <v>0.0</v>
      </c>
      <c r="G91" s="7">
        <v>0.0</v>
      </c>
      <c r="H91" s="7">
        <v>1.0</v>
      </c>
    </row>
    <row r="92" ht="15.75" customHeight="1">
      <c r="A92" s="6" t="s">
        <v>50</v>
      </c>
      <c r="B92" s="7">
        <v>0.0</v>
      </c>
      <c r="C92" s="7">
        <v>0.0</v>
      </c>
      <c r="D92" s="7">
        <v>0.0</v>
      </c>
      <c r="E92" s="7">
        <v>1.0</v>
      </c>
      <c r="F92" s="7">
        <v>0.0</v>
      </c>
      <c r="G92" s="7">
        <v>0.0</v>
      </c>
      <c r="H92" s="7">
        <v>1.0</v>
      </c>
    </row>
    <row r="93" ht="15.75" customHeight="1">
      <c r="A93" s="6" t="s">
        <v>131</v>
      </c>
      <c r="B93" s="7">
        <v>0.0</v>
      </c>
      <c r="C93" s="7">
        <v>1.0</v>
      </c>
      <c r="D93" s="7">
        <v>1.0</v>
      </c>
      <c r="E93" s="7">
        <v>0.0</v>
      </c>
      <c r="F93" s="7">
        <v>0.0</v>
      </c>
      <c r="G93" s="7">
        <v>0.0</v>
      </c>
      <c r="H93" s="7">
        <v>1.0</v>
      </c>
    </row>
    <row r="94" ht="15.75" customHeight="1">
      <c r="A94" s="6" t="s">
        <v>58</v>
      </c>
      <c r="B94" s="7">
        <v>0.0</v>
      </c>
      <c r="C94" s="7">
        <v>0.0</v>
      </c>
      <c r="D94" s="7">
        <v>0.0</v>
      </c>
      <c r="E94" s="7">
        <v>1.0</v>
      </c>
      <c r="F94" s="7">
        <v>0.0</v>
      </c>
      <c r="G94" s="7">
        <v>0.0</v>
      </c>
      <c r="H94" s="7">
        <v>1.0</v>
      </c>
    </row>
    <row r="95" ht="15.75" customHeight="1">
      <c r="A95" s="6" t="s">
        <v>59</v>
      </c>
      <c r="B95" s="7">
        <v>1.0</v>
      </c>
      <c r="C95" s="7">
        <v>0.0</v>
      </c>
      <c r="D95" s="7">
        <v>1.0</v>
      </c>
      <c r="E95" s="7">
        <v>0.0</v>
      </c>
      <c r="F95" s="7">
        <v>0.0</v>
      </c>
      <c r="G95" s="7">
        <v>0.0</v>
      </c>
      <c r="H95" s="7">
        <v>1.0</v>
      </c>
    </row>
    <row r="96" ht="15.75" customHeight="1">
      <c r="A96" s="6" t="s">
        <v>69</v>
      </c>
      <c r="B96" s="7">
        <v>0.0</v>
      </c>
      <c r="C96" s="7">
        <v>0.0</v>
      </c>
      <c r="D96" s="7">
        <v>0.0</v>
      </c>
      <c r="E96" s="7">
        <v>0.0</v>
      </c>
      <c r="F96" s="7">
        <v>0.0</v>
      </c>
      <c r="G96" s="7">
        <v>1.0</v>
      </c>
      <c r="H96" s="7">
        <v>1.0</v>
      </c>
    </row>
    <row r="97" ht="15.75" customHeight="1">
      <c r="A97" s="6" t="s">
        <v>81</v>
      </c>
      <c r="B97" s="7">
        <v>0.0</v>
      </c>
      <c r="C97" s="7">
        <v>0.0</v>
      </c>
      <c r="D97" s="7">
        <v>0.0</v>
      </c>
      <c r="E97" s="7">
        <v>0.0</v>
      </c>
      <c r="F97" s="7">
        <v>0.0</v>
      </c>
      <c r="G97" s="7">
        <v>0.0</v>
      </c>
      <c r="H97" s="7">
        <v>1.0</v>
      </c>
    </row>
    <row r="98" ht="15.75" customHeight="1">
      <c r="A98" s="6" t="s">
        <v>132</v>
      </c>
      <c r="B98" s="7">
        <v>0.0</v>
      </c>
      <c r="C98" s="7">
        <v>0.0</v>
      </c>
      <c r="D98" s="7">
        <v>0.0</v>
      </c>
      <c r="E98" s="7">
        <v>0.0</v>
      </c>
      <c r="F98" s="7">
        <v>0.0</v>
      </c>
      <c r="G98" s="7">
        <v>0.0</v>
      </c>
      <c r="H98" s="7">
        <v>1.0</v>
      </c>
    </row>
    <row r="99" ht="15.75" customHeight="1">
      <c r="A99" s="6" t="s">
        <v>98</v>
      </c>
      <c r="B99" s="7">
        <v>0.0</v>
      </c>
      <c r="C99" s="7">
        <v>1.0</v>
      </c>
      <c r="D99" s="7">
        <v>1.0</v>
      </c>
      <c r="E99" s="7">
        <v>0.0</v>
      </c>
      <c r="F99" s="7">
        <v>0.0</v>
      </c>
      <c r="G99" s="7">
        <v>0.0</v>
      </c>
      <c r="H99" s="7">
        <v>1.0</v>
      </c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9" t="s">
        <v>10</v>
      </c>
      <c r="B101" s="10">
        <f t="shared" ref="B101:H101" si="1">SUM(B3:B99)</f>
        <v>455</v>
      </c>
      <c r="C101" s="10">
        <f t="shared" si="1"/>
        <v>229</v>
      </c>
      <c r="D101" s="10">
        <f t="shared" si="1"/>
        <v>684</v>
      </c>
      <c r="E101" s="10">
        <f t="shared" si="1"/>
        <v>6481</v>
      </c>
      <c r="F101" s="10">
        <f t="shared" si="1"/>
        <v>240</v>
      </c>
      <c r="G101" s="10">
        <f t="shared" si="1"/>
        <v>32</v>
      </c>
      <c r="H101" s="10">
        <f t="shared" si="1"/>
        <v>7671</v>
      </c>
    </row>
    <row r="102" ht="15.75" customHeight="1">
      <c r="A102" s="12" t="s">
        <v>100</v>
      </c>
    </row>
    <row r="103" ht="15.75" customHeight="1">
      <c r="A103" s="24" t="s">
        <v>133</v>
      </c>
    </row>
  </sheetData>
  <mergeCells count="5">
    <mergeCell ref="A1:H1"/>
    <mergeCell ref="A2:H2"/>
    <mergeCell ref="A3:H3"/>
    <mergeCell ref="A102:H102"/>
    <mergeCell ref="A103:H103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cols>
    <col customWidth="1" min="1" max="8" width="15.13"/>
  </cols>
  <sheetData>
    <row r="1">
      <c r="A1" s="22" t="s">
        <v>137</v>
      </c>
    </row>
    <row r="2">
      <c r="A2" s="2" t="s">
        <v>1</v>
      </c>
    </row>
    <row r="3">
      <c r="A3" s="3" t="s">
        <v>2</v>
      </c>
    </row>
    <row r="4">
      <c r="A4" s="5" t="s">
        <v>102</v>
      </c>
      <c r="B4" s="4" t="s">
        <v>4</v>
      </c>
      <c r="C4" s="4" t="s">
        <v>138</v>
      </c>
      <c r="D4" s="5" t="s">
        <v>139</v>
      </c>
      <c r="E4" s="4" t="s">
        <v>7</v>
      </c>
      <c r="F4" s="4" t="s">
        <v>8</v>
      </c>
      <c r="G4" s="5" t="s">
        <v>136</v>
      </c>
      <c r="H4" s="5" t="s">
        <v>10</v>
      </c>
    </row>
    <row r="5">
      <c r="A5" s="6" t="s">
        <v>103</v>
      </c>
      <c r="B5" s="14">
        <v>41.0</v>
      </c>
      <c r="C5" s="14">
        <v>8.0</v>
      </c>
      <c r="D5" s="14">
        <v>49.0</v>
      </c>
      <c r="E5" s="8">
        <v>3039.0</v>
      </c>
      <c r="F5" s="14">
        <v>69.0</v>
      </c>
      <c r="G5" s="14">
        <v>0.0</v>
      </c>
      <c r="H5" s="8">
        <v>3225.0</v>
      </c>
    </row>
    <row r="6">
      <c r="A6" s="6" t="s">
        <v>104</v>
      </c>
      <c r="B6" s="14">
        <v>54.0</v>
      </c>
      <c r="C6" s="14">
        <v>34.0</v>
      </c>
      <c r="D6" s="14">
        <v>88.0</v>
      </c>
      <c r="E6" s="14">
        <v>1084.0</v>
      </c>
      <c r="F6" s="14">
        <v>33.0</v>
      </c>
      <c r="G6" s="14">
        <v>3.0</v>
      </c>
      <c r="H6" s="14">
        <v>1224.0</v>
      </c>
    </row>
    <row r="7">
      <c r="A7" s="6" t="s">
        <v>105</v>
      </c>
      <c r="B7" s="14">
        <v>71.0</v>
      </c>
      <c r="C7" s="14">
        <v>17.0</v>
      </c>
      <c r="D7" s="14">
        <v>88.0</v>
      </c>
      <c r="E7" s="14">
        <v>324.0</v>
      </c>
      <c r="F7" s="14">
        <v>80.0</v>
      </c>
      <c r="G7" s="14">
        <v>2.0</v>
      </c>
      <c r="H7" s="14">
        <v>498.0</v>
      </c>
    </row>
    <row r="8">
      <c r="A8" s="6" t="s">
        <v>106</v>
      </c>
      <c r="B8" s="14">
        <v>85.0</v>
      </c>
      <c r="C8" s="14">
        <v>23.0</v>
      </c>
      <c r="D8" s="14">
        <v>108.0</v>
      </c>
      <c r="E8" s="14">
        <v>370.0</v>
      </c>
      <c r="F8" s="14">
        <v>0.0</v>
      </c>
      <c r="G8" s="14">
        <v>6.0</v>
      </c>
      <c r="H8" s="14">
        <v>533.0</v>
      </c>
    </row>
    <row r="9">
      <c r="A9" s="6" t="s">
        <v>107</v>
      </c>
      <c r="B9" s="14">
        <v>16.0</v>
      </c>
      <c r="C9" s="14">
        <v>4.0</v>
      </c>
      <c r="D9" s="14">
        <v>20.0</v>
      </c>
      <c r="E9" s="14">
        <v>168.0</v>
      </c>
      <c r="F9" s="14">
        <v>15.0</v>
      </c>
      <c r="G9" s="14">
        <v>15.0</v>
      </c>
      <c r="H9" s="14">
        <v>222.0</v>
      </c>
    </row>
    <row r="10">
      <c r="A10" s="6" t="s">
        <v>108</v>
      </c>
      <c r="B10" s="14">
        <v>0.0</v>
      </c>
      <c r="C10" s="14">
        <v>0.0</v>
      </c>
      <c r="D10" s="14">
        <v>0.0</v>
      </c>
      <c r="E10" s="14">
        <v>33.0</v>
      </c>
      <c r="F10" s="14">
        <v>0.0</v>
      </c>
      <c r="G10" s="14">
        <v>0.0</v>
      </c>
      <c r="H10" s="14">
        <v>38.0</v>
      </c>
    </row>
    <row r="11">
      <c r="A11" s="6" t="s">
        <v>114</v>
      </c>
      <c r="B11" s="14">
        <v>9.0</v>
      </c>
      <c r="C11" s="14">
        <v>10.0</v>
      </c>
      <c r="D11" s="14">
        <v>19.0</v>
      </c>
      <c r="E11" s="14">
        <v>170.0</v>
      </c>
      <c r="F11" s="14">
        <v>5.0</v>
      </c>
      <c r="G11" s="14">
        <v>0.0</v>
      </c>
      <c r="H11" s="14">
        <v>202.0</v>
      </c>
    </row>
    <row r="12">
      <c r="A12" s="6" t="s">
        <v>115</v>
      </c>
      <c r="B12" s="14">
        <v>44.0</v>
      </c>
      <c r="C12" s="14">
        <v>51.0</v>
      </c>
      <c r="D12" s="14">
        <v>95.0</v>
      </c>
      <c r="E12" s="14">
        <v>320.0</v>
      </c>
      <c r="F12" s="14">
        <v>26.0</v>
      </c>
      <c r="G12" s="14">
        <v>0.0</v>
      </c>
      <c r="H12" s="14">
        <v>443.0</v>
      </c>
    </row>
    <row r="13">
      <c r="A13" s="6" t="s">
        <v>109</v>
      </c>
      <c r="B13" s="14">
        <v>41.0</v>
      </c>
      <c r="C13" s="14">
        <v>25.0</v>
      </c>
      <c r="D13" s="14">
        <v>66.0</v>
      </c>
      <c r="E13" s="14">
        <v>173.0</v>
      </c>
      <c r="F13" s="14">
        <v>4.0</v>
      </c>
      <c r="G13" s="14">
        <v>3.0</v>
      </c>
      <c r="H13" s="14">
        <v>250.0</v>
      </c>
    </row>
    <row r="14">
      <c r="A14" s="6" t="s">
        <v>110</v>
      </c>
      <c r="B14" s="14">
        <v>33.0</v>
      </c>
      <c r="C14" s="14">
        <v>31.0</v>
      </c>
      <c r="D14" s="14">
        <v>64.0</v>
      </c>
      <c r="E14" s="14">
        <v>233.0</v>
      </c>
      <c r="F14" s="14">
        <v>4.0</v>
      </c>
      <c r="G14" s="14">
        <v>2.0</v>
      </c>
      <c r="H14" s="14">
        <v>310.0</v>
      </c>
    </row>
    <row r="15">
      <c r="A15" s="6" t="s">
        <v>111</v>
      </c>
      <c r="B15" s="14">
        <v>9.0</v>
      </c>
      <c r="C15" s="14">
        <v>13.0</v>
      </c>
      <c r="D15" s="14">
        <v>22.0</v>
      </c>
      <c r="E15" s="14">
        <v>150.0</v>
      </c>
      <c r="F15" s="14">
        <v>1.0</v>
      </c>
      <c r="G15" s="14">
        <v>1.0</v>
      </c>
      <c r="H15" s="14">
        <v>177.0</v>
      </c>
    </row>
    <row r="16">
      <c r="A16" s="6" t="s">
        <v>112</v>
      </c>
      <c r="B16" s="8">
        <v>10.0</v>
      </c>
      <c r="C16" s="14">
        <v>9.0</v>
      </c>
      <c r="D16" s="14">
        <v>18.0</v>
      </c>
      <c r="E16" s="14">
        <v>244.0</v>
      </c>
      <c r="F16" s="14">
        <v>0.0</v>
      </c>
      <c r="G16" s="14">
        <v>0.0</v>
      </c>
      <c r="H16" s="14">
        <v>264.0</v>
      </c>
    </row>
    <row r="17">
      <c r="A17" s="6" t="s">
        <v>113</v>
      </c>
      <c r="B17" s="14">
        <v>7.0</v>
      </c>
      <c r="C17" s="14">
        <v>2.0</v>
      </c>
      <c r="D17" s="14">
        <v>9.0</v>
      </c>
      <c r="E17" s="14">
        <v>63.0</v>
      </c>
      <c r="F17" s="14">
        <v>0.0</v>
      </c>
      <c r="G17" s="14">
        <v>0.0</v>
      </c>
      <c r="H17" s="14">
        <v>89.0</v>
      </c>
    </row>
    <row r="18">
      <c r="A18" s="6" t="s">
        <v>116</v>
      </c>
      <c r="B18" s="14">
        <v>31.0</v>
      </c>
      <c r="C18" s="14">
        <v>2.0</v>
      </c>
      <c r="D18" s="14">
        <v>33.0</v>
      </c>
      <c r="E18" s="14">
        <v>110.0</v>
      </c>
      <c r="F18" s="14">
        <v>3.0</v>
      </c>
      <c r="G18" s="14">
        <v>0.0</v>
      </c>
      <c r="H18" s="14">
        <v>193.0</v>
      </c>
    </row>
    <row r="19">
      <c r="A19" s="6" t="s">
        <v>117</v>
      </c>
      <c r="B19" s="14">
        <v>4.0</v>
      </c>
      <c r="C19" s="14">
        <v>0.0</v>
      </c>
      <c r="D19" s="14">
        <v>4.0</v>
      </c>
      <c r="E19" s="14">
        <v>0.0</v>
      </c>
      <c r="F19" s="14">
        <v>0.0</v>
      </c>
      <c r="G19" s="14">
        <v>0.0</v>
      </c>
      <c r="H19" s="14">
        <v>4.0</v>
      </c>
    </row>
    <row r="20">
      <c r="A20" s="5" t="s">
        <v>118</v>
      </c>
      <c r="B20" s="5" t="s">
        <v>4</v>
      </c>
      <c r="C20" s="5" t="s">
        <v>138</v>
      </c>
      <c r="D20" s="5" t="s">
        <v>139</v>
      </c>
      <c r="E20" s="5" t="s">
        <v>7</v>
      </c>
      <c r="F20" s="5" t="s">
        <v>8</v>
      </c>
      <c r="G20" s="5" t="s">
        <v>136</v>
      </c>
      <c r="H20" s="5" t="s">
        <v>10</v>
      </c>
    </row>
    <row r="21">
      <c r="A21" s="6" t="s">
        <v>122</v>
      </c>
      <c r="B21" s="28">
        <f t="shared" ref="B21:H21" si="1">sum(B11:B12)</f>
        <v>53</v>
      </c>
      <c r="C21" s="28">
        <f t="shared" si="1"/>
        <v>61</v>
      </c>
      <c r="D21" s="7">
        <f t="shared" si="1"/>
        <v>114</v>
      </c>
      <c r="E21" s="28">
        <f t="shared" si="1"/>
        <v>490</v>
      </c>
      <c r="F21" s="28">
        <f t="shared" si="1"/>
        <v>31</v>
      </c>
      <c r="G21" s="7">
        <f t="shared" si="1"/>
        <v>0</v>
      </c>
      <c r="H21" s="7">
        <f t="shared" si="1"/>
        <v>645</v>
      </c>
    </row>
    <row r="22">
      <c r="A22" s="6" t="s">
        <v>119</v>
      </c>
      <c r="B22" s="14">
        <f t="shared" ref="B22:H22" si="2">SUM(B5:B6)</f>
        <v>95</v>
      </c>
      <c r="C22" s="14">
        <f t="shared" si="2"/>
        <v>42</v>
      </c>
      <c r="D22" s="14">
        <f t="shared" si="2"/>
        <v>137</v>
      </c>
      <c r="E22" s="14">
        <f t="shared" si="2"/>
        <v>4123</v>
      </c>
      <c r="F22" s="14">
        <f t="shared" si="2"/>
        <v>102</v>
      </c>
      <c r="G22" s="14">
        <f t="shared" si="2"/>
        <v>3</v>
      </c>
      <c r="H22" s="14">
        <f t="shared" si="2"/>
        <v>4449</v>
      </c>
    </row>
    <row r="23">
      <c r="A23" s="6" t="s">
        <v>121</v>
      </c>
      <c r="B23" s="14">
        <f t="shared" ref="B23:H23" si="3">SUM(B13:B17)</f>
        <v>100</v>
      </c>
      <c r="C23" s="14">
        <f t="shared" si="3"/>
        <v>80</v>
      </c>
      <c r="D23" s="14">
        <f t="shared" si="3"/>
        <v>179</v>
      </c>
      <c r="E23" s="14">
        <f t="shared" si="3"/>
        <v>863</v>
      </c>
      <c r="F23" s="14">
        <f t="shared" si="3"/>
        <v>9</v>
      </c>
      <c r="G23" s="14">
        <f t="shared" si="3"/>
        <v>6</v>
      </c>
      <c r="H23" s="14">
        <f t="shared" si="3"/>
        <v>1090</v>
      </c>
    </row>
    <row r="24">
      <c r="A24" s="6" t="s">
        <v>120</v>
      </c>
      <c r="B24" s="14">
        <f t="shared" ref="B24:H24" si="4">Sum(B7:B10)</f>
        <v>172</v>
      </c>
      <c r="C24" s="14">
        <f t="shared" si="4"/>
        <v>44</v>
      </c>
      <c r="D24" s="14">
        <f t="shared" si="4"/>
        <v>216</v>
      </c>
      <c r="E24" s="14">
        <f t="shared" si="4"/>
        <v>895</v>
      </c>
      <c r="F24" s="14">
        <f t="shared" si="4"/>
        <v>95</v>
      </c>
      <c r="G24" s="14">
        <f t="shared" si="4"/>
        <v>23</v>
      </c>
      <c r="H24" s="14">
        <f t="shared" si="4"/>
        <v>1291</v>
      </c>
    </row>
    <row r="25">
      <c r="A25" s="6" t="s">
        <v>123</v>
      </c>
      <c r="B25" s="14">
        <f t="shared" ref="B25:H25" si="5">SUM(B18:B19)</f>
        <v>35</v>
      </c>
      <c r="C25" s="14">
        <f t="shared" si="5"/>
        <v>2</v>
      </c>
      <c r="D25" s="14">
        <f t="shared" si="5"/>
        <v>37</v>
      </c>
      <c r="E25" s="14">
        <f t="shared" si="5"/>
        <v>110</v>
      </c>
      <c r="F25" s="14">
        <f t="shared" si="5"/>
        <v>3</v>
      </c>
      <c r="G25" s="14">
        <f t="shared" si="5"/>
        <v>0</v>
      </c>
      <c r="H25" s="14">
        <f t="shared" si="5"/>
        <v>197</v>
      </c>
    </row>
    <row r="26">
      <c r="A26" s="9" t="s">
        <v>10</v>
      </c>
      <c r="B26" s="29">
        <f t="shared" ref="B26:H26" si="6">sum(B21:B25)</f>
        <v>455</v>
      </c>
      <c r="C26" s="29">
        <f t="shared" si="6"/>
        <v>229</v>
      </c>
      <c r="D26" s="29">
        <f t="shared" si="6"/>
        <v>683</v>
      </c>
      <c r="E26" s="29">
        <f t="shared" si="6"/>
        <v>6481</v>
      </c>
      <c r="F26" s="29">
        <f t="shared" si="6"/>
        <v>240</v>
      </c>
      <c r="G26" s="29">
        <f t="shared" si="6"/>
        <v>32</v>
      </c>
      <c r="H26" s="29">
        <f t="shared" si="6"/>
        <v>7672</v>
      </c>
    </row>
    <row r="27">
      <c r="A27" s="12" t="s">
        <v>100</v>
      </c>
    </row>
    <row r="28">
      <c r="A28" s="24" t="s">
        <v>133</v>
      </c>
    </row>
  </sheetData>
  <mergeCells count="5">
    <mergeCell ref="A1:H1"/>
    <mergeCell ref="A2:H2"/>
    <mergeCell ref="A3:H3"/>
    <mergeCell ref="A27:H27"/>
    <mergeCell ref="A28:H28"/>
  </mergeCells>
  <hyperlinks>
    <hyperlink r:id="rId1" ref="A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5" width="21.63"/>
  </cols>
  <sheetData>
    <row r="1">
      <c r="A1" s="22" t="s">
        <v>140</v>
      </c>
    </row>
    <row r="2">
      <c r="A2" s="2" t="s">
        <v>1</v>
      </c>
    </row>
    <row r="3">
      <c r="A3" s="3" t="s">
        <v>2</v>
      </c>
    </row>
    <row r="4">
      <c r="A4" s="30" t="s">
        <v>3</v>
      </c>
      <c r="B4" s="31" t="s">
        <v>141</v>
      </c>
      <c r="C4" s="31" t="s">
        <v>142</v>
      </c>
      <c r="D4" s="30" t="s">
        <v>143</v>
      </c>
      <c r="E4" s="30" t="s">
        <v>144</v>
      </c>
    </row>
    <row r="5">
      <c r="A5" s="6" t="s">
        <v>94</v>
      </c>
      <c r="B5" s="32">
        <v>1263.726229</v>
      </c>
      <c r="C5" s="32">
        <v>5735.085</v>
      </c>
      <c r="D5" s="32">
        <v>22.102</v>
      </c>
      <c r="E5" s="32">
        <v>13191.688405207</v>
      </c>
    </row>
    <row r="6">
      <c r="A6" s="6" t="s">
        <v>77</v>
      </c>
      <c r="B6" s="32">
        <v>581.257</v>
      </c>
      <c r="C6" s="32">
        <v>2357.739</v>
      </c>
      <c r="D6" s="32">
        <v>2.932</v>
      </c>
      <c r="E6" s="32">
        <v>5780.205931</v>
      </c>
    </row>
    <row r="7">
      <c r="A7" s="6" t="s">
        <v>44</v>
      </c>
      <c r="B7" s="32">
        <v>331.95676</v>
      </c>
      <c r="C7" s="32">
        <v>1823.125</v>
      </c>
      <c r="D7" s="32">
        <v>0.0</v>
      </c>
      <c r="E7" s="32">
        <v>3776.02661908</v>
      </c>
    </row>
    <row r="8">
      <c r="A8" s="6" t="s">
        <v>23</v>
      </c>
      <c r="B8" s="32">
        <v>220.762681</v>
      </c>
      <c r="C8" s="32">
        <v>2162.47</v>
      </c>
      <c r="D8" s="32">
        <v>0.0</v>
      </c>
      <c r="E8" s="32">
        <v>3461.216852323</v>
      </c>
    </row>
    <row r="9">
      <c r="A9" s="6" t="s">
        <v>78</v>
      </c>
      <c r="B9" s="32">
        <v>2.887878</v>
      </c>
      <c r="C9" s="32">
        <v>3261.093</v>
      </c>
      <c r="D9" s="32">
        <v>0.0</v>
      </c>
      <c r="E9" s="32">
        <v>3278.082386274</v>
      </c>
    </row>
    <row r="10">
      <c r="A10" s="6" t="s">
        <v>26</v>
      </c>
      <c r="B10" s="32">
        <v>230.572986</v>
      </c>
      <c r="C10" s="32">
        <v>1170.575</v>
      </c>
      <c r="D10" s="32">
        <v>0.0</v>
      </c>
      <c r="E10" s="32">
        <v>2527.035876638</v>
      </c>
    </row>
    <row r="11">
      <c r="A11" s="6" t="s">
        <v>45</v>
      </c>
      <c r="B11" s="32">
        <v>9.446729</v>
      </c>
      <c r="C11" s="32">
        <v>1816.123</v>
      </c>
      <c r="D11" s="32">
        <v>0.0</v>
      </c>
      <c r="E11" s="32">
        <v>1871.698106707</v>
      </c>
    </row>
    <row r="12">
      <c r="A12" s="6" t="s">
        <v>74</v>
      </c>
      <c r="B12" s="32">
        <v>222.446224</v>
      </c>
      <c r="C12" s="32">
        <v>430.535</v>
      </c>
      <c r="D12" s="32">
        <v>0.0</v>
      </c>
      <c r="E12" s="32">
        <v>1739.186135792</v>
      </c>
    </row>
    <row r="13">
      <c r="A13" s="6" t="s">
        <v>20</v>
      </c>
      <c r="B13" s="32">
        <v>57.80152400000001</v>
      </c>
      <c r="C13" s="32">
        <v>1276.136</v>
      </c>
      <c r="D13" s="32">
        <v>0.0</v>
      </c>
      <c r="E13" s="32">
        <v>1616.182365692</v>
      </c>
    </row>
    <row r="14">
      <c r="A14" s="6" t="s">
        <v>66</v>
      </c>
      <c r="B14" s="32">
        <v>127.38</v>
      </c>
      <c r="C14" s="32">
        <v>806.601</v>
      </c>
      <c r="D14" s="32">
        <v>0.0</v>
      </c>
      <c r="E14" s="32">
        <v>1555.97754</v>
      </c>
    </row>
    <row r="15">
      <c r="A15" s="6" t="s">
        <v>11</v>
      </c>
      <c r="B15" s="32">
        <v>79.93307300000001</v>
      </c>
      <c r="C15" s="32">
        <v>781.0509999999999</v>
      </c>
      <c r="D15" s="32">
        <v>39.595</v>
      </c>
      <c r="E15" s="32">
        <v>1290.892268459</v>
      </c>
    </row>
    <row r="16">
      <c r="A16" s="6" t="s">
        <v>65</v>
      </c>
      <c r="B16" s="32">
        <v>36.41347100000001</v>
      </c>
      <c r="C16" s="32">
        <v>912.27</v>
      </c>
      <c r="D16" s="32">
        <v>5.475</v>
      </c>
      <c r="E16" s="32">
        <v>1131.965449893</v>
      </c>
    </row>
    <row r="17">
      <c r="A17" s="6" t="s">
        <v>92</v>
      </c>
      <c r="B17" s="32">
        <v>5.346839999999999</v>
      </c>
      <c r="C17" s="32">
        <v>966.529</v>
      </c>
      <c r="D17" s="32">
        <v>43.8</v>
      </c>
      <c r="E17" s="32">
        <v>1041.78445972</v>
      </c>
    </row>
    <row r="18">
      <c r="A18" s="6" t="s">
        <v>96</v>
      </c>
      <c r="B18" s="32">
        <v>14.584096</v>
      </c>
      <c r="C18" s="32">
        <v>910.875</v>
      </c>
      <c r="D18" s="32">
        <v>43.8</v>
      </c>
      <c r="E18" s="32">
        <v>1040.473236768</v>
      </c>
    </row>
    <row r="19">
      <c r="A19" s="6" t="s">
        <v>57</v>
      </c>
      <c r="B19" s="32">
        <v>46.653809</v>
      </c>
      <c r="C19" s="32">
        <v>661.293</v>
      </c>
      <c r="D19" s="32">
        <v>0.0</v>
      </c>
      <c r="E19" s="32">
        <v>935.757358347</v>
      </c>
    </row>
    <row r="20">
      <c r="A20" s="6" t="s">
        <v>53</v>
      </c>
      <c r="B20" s="32">
        <v>0.41344</v>
      </c>
      <c r="C20" s="32">
        <v>904.028</v>
      </c>
      <c r="D20" s="32">
        <v>0.0</v>
      </c>
      <c r="E20" s="32">
        <v>906.46026752</v>
      </c>
    </row>
    <row r="21">
      <c r="A21" s="6" t="s">
        <v>12</v>
      </c>
      <c r="B21" s="32">
        <v>1.281664</v>
      </c>
      <c r="C21" s="32">
        <v>539.917</v>
      </c>
      <c r="D21" s="32">
        <v>338.829</v>
      </c>
      <c r="E21" s="32">
        <v>886.286029312</v>
      </c>
    </row>
    <row r="22">
      <c r="A22" s="6" t="s">
        <v>14</v>
      </c>
      <c r="B22" s="32">
        <v>117.178604</v>
      </c>
      <c r="C22" s="32">
        <v>162.49</v>
      </c>
      <c r="D22" s="32">
        <v>18.25</v>
      </c>
      <c r="E22" s="32">
        <v>870.101727332</v>
      </c>
    </row>
    <row r="23">
      <c r="A23" s="6" t="s">
        <v>51</v>
      </c>
      <c r="B23" s="32">
        <v>48.41242</v>
      </c>
      <c r="C23" s="32">
        <v>560.624</v>
      </c>
      <c r="D23" s="32">
        <v>0.0</v>
      </c>
      <c r="E23" s="32">
        <v>845.43426686</v>
      </c>
    </row>
    <row r="24" ht="15.75" customHeight="1">
      <c r="A24" s="6" t="s">
        <v>54</v>
      </c>
      <c r="B24" s="32">
        <v>16.894194</v>
      </c>
      <c r="C24" s="32">
        <v>664.219</v>
      </c>
      <c r="D24" s="32">
        <v>21.181</v>
      </c>
      <c r="E24" s="32">
        <v>784.7885433020001</v>
      </c>
    </row>
    <row r="25" ht="15.75" customHeight="1">
      <c r="A25" s="6" t="s">
        <v>33</v>
      </c>
      <c r="B25" s="32">
        <v>76.122831</v>
      </c>
      <c r="C25" s="32">
        <v>324.09</v>
      </c>
      <c r="D25" s="32">
        <v>8.69</v>
      </c>
      <c r="E25" s="32">
        <v>780.6106147730001</v>
      </c>
    </row>
    <row r="26" ht="15.75" customHeight="1">
      <c r="A26" s="6" t="s">
        <v>67</v>
      </c>
      <c r="B26" s="32">
        <v>27.145255</v>
      </c>
      <c r="C26" s="32">
        <v>375.797</v>
      </c>
      <c r="D26" s="32">
        <v>2.555</v>
      </c>
      <c r="E26" s="32">
        <v>538.047535165</v>
      </c>
    </row>
    <row r="27" ht="15.75" customHeight="1">
      <c r="A27" s="6" t="s">
        <v>55</v>
      </c>
      <c r="B27" s="32">
        <v>55.450285</v>
      </c>
      <c r="C27" s="32">
        <v>193.626</v>
      </c>
      <c r="D27" s="32">
        <v>10.797</v>
      </c>
      <c r="E27" s="32">
        <v>530.637026655</v>
      </c>
    </row>
    <row r="28" ht="15.75" customHeight="1">
      <c r="A28" s="6" t="s">
        <v>43</v>
      </c>
      <c r="B28" s="32">
        <v>51.333575</v>
      </c>
      <c r="C28" s="32">
        <v>164.039</v>
      </c>
      <c r="D28" s="32">
        <v>35.288</v>
      </c>
      <c r="E28" s="32">
        <v>501.322421725</v>
      </c>
    </row>
    <row r="29" ht="15.75" customHeight="1">
      <c r="A29" s="6" t="s">
        <v>13</v>
      </c>
      <c r="B29" s="32">
        <v>44.058393</v>
      </c>
      <c r="C29" s="32">
        <v>239.567</v>
      </c>
      <c r="D29" s="32">
        <v>0.0</v>
      </c>
      <c r="E29" s="32">
        <v>498.762526019</v>
      </c>
    </row>
    <row r="30" ht="15.75" customHeight="1">
      <c r="A30" s="6" t="s">
        <v>93</v>
      </c>
      <c r="B30" s="32">
        <v>36.243731</v>
      </c>
      <c r="C30" s="32">
        <v>256.919</v>
      </c>
      <c r="D30" s="32">
        <v>2.555</v>
      </c>
      <c r="E30" s="32">
        <v>472.695869473</v>
      </c>
    </row>
    <row r="31" ht="15.75" customHeight="1">
      <c r="A31" s="6" t="s">
        <v>27</v>
      </c>
      <c r="B31" s="32">
        <v>19.551585</v>
      </c>
      <c r="C31" s="32">
        <v>287.65</v>
      </c>
      <c r="D31" s="32">
        <v>0.0</v>
      </c>
      <c r="E31" s="32">
        <v>402.671974555</v>
      </c>
    </row>
    <row r="32" ht="15.75" customHeight="1">
      <c r="A32" s="6" t="s">
        <v>42</v>
      </c>
      <c r="B32" s="32">
        <v>40.526174</v>
      </c>
      <c r="C32" s="32">
        <v>138.337</v>
      </c>
      <c r="D32" s="32">
        <v>0.0</v>
      </c>
      <c r="E32" s="32">
        <v>376.752481642</v>
      </c>
    </row>
    <row r="33" ht="15.75" customHeight="1">
      <c r="A33" s="6" t="s">
        <v>16</v>
      </c>
      <c r="B33" s="32">
        <v>29.697796</v>
      </c>
      <c r="C33" s="32">
        <v>176.423</v>
      </c>
      <c r="D33" s="32">
        <v>0.0</v>
      </c>
      <c r="E33" s="32">
        <v>351.135133868</v>
      </c>
    </row>
    <row r="34" ht="15.75" customHeight="1">
      <c r="A34" s="6" t="s">
        <v>89</v>
      </c>
      <c r="B34" s="32">
        <v>50.272428</v>
      </c>
      <c r="C34" s="32">
        <v>22.763</v>
      </c>
      <c r="D34" s="32">
        <v>0.0</v>
      </c>
      <c r="E34" s="32">
        <v>318.5156939239999</v>
      </c>
    </row>
    <row r="35" ht="15.75" customHeight="1">
      <c r="A35" s="6" t="s">
        <v>40</v>
      </c>
      <c r="B35" s="32">
        <v>0.0</v>
      </c>
      <c r="C35" s="32">
        <v>129.21</v>
      </c>
      <c r="D35" s="32">
        <v>80.3</v>
      </c>
      <c r="E35" s="32">
        <v>209.51</v>
      </c>
    </row>
    <row r="36" ht="15.75" customHeight="1">
      <c r="A36" s="6" t="s">
        <v>68</v>
      </c>
      <c r="B36" s="32">
        <v>29.199469</v>
      </c>
      <c r="C36" s="32">
        <v>27.038</v>
      </c>
      <c r="D36" s="32">
        <v>9.49</v>
      </c>
      <c r="E36" s="32">
        <v>208.308476127</v>
      </c>
    </row>
    <row r="37" ht="15.75" customHeight="1">
      <c r="A37" s="6" t="s">
        <v>32</v>
      </c>
      <c r="B37" s="32">
        <v>0.64695</v>
      </c>
      <c r="C37" s="32">
        <v>161.819</v>
      </c>
      <c r="D37" s="32">
        <v>0.0</v>
      </c>
      <c r="E37" s="32">
        <v>165.62500685</v>
      </c>
    </row>
    <row r="38" ht="15.75" customHeight="1">
      <c r="A38" s="6" t="s">
        <v>85</v>
      </c>
      <c r="B38" s="32">
        <v>14.570227</v>
      </c>
      <c r="C38" s="32">
        <v>61.819</v>
      </c>
      <c r="D38" s="32">
        <v>0.0</v>
      </c>
      <c r="E38" s="32">
        <v>147.535645441</v>
      </c>
    </row>
    <row r="39" ht="15.75" customHeight="1">
      <c r="A39" s="6" t="s">
        <v>47</v>
      </c>
      <c r="B39" s="32">
        <v>23.9</v>
      </c>
      <c r="C39" s="32">
        <v>0.0</v>
      </c>
      <c r="D39" s="32">
        <v>0.0</v>
      </c>
      <c r="E39" s="32">
        <v>140.6037</v>
      </c>
    </row>
    <row r="40" ht="15.75" customHeight="1">
      <c r="A40" s="6" t="s">
        <v>18</v>
      </c>
      <c r="B40" s="32">
        <v>17.514352</v>
      </c>
      <c r="C40" s="32">
        <v>2.934</v>
      </c>
      <c r="D40" s="32">
        <v>13.589</v>
      </c>
      <c r="E40" s="32">
        <v>119.559932816</v>
      </c>
    </row>
    <row r="41" ht="15.75" customHeight="1">
      <c r="A41" s="6" t="s">
        <v>71</v>
      </c>
      <c r="B41" s="32">
        <v>13.78746</v>
      </c>
      <c r="C41" s="32">
        <v>7.470000000000001</v>
      </c>
      <c r="D41" s="32">
        <v>28.35</v>
      </c>
      <c r="E41" s="32">
        <v>116.93162718</v>
      </c>
    </row>
    <row r="42" ht="15.75" customHeight="1">
      <c r="A42" s="6" t="s">
        <v>75</v>
      </c>
      <c r="B42" s="32">
        <v>0.0</v>
      </c>
      <c r="C42" s="32">
        <v>99.542</v>
      </c>
      <c r="D42" s="32">
        <v>10.95</v>
      </c>
      <c r="E42" s="32">
        <v>110.492</v>
      </c>
    </row>
    <row r="43" ht="15.75" customHeight="1">
      <c r="A43" s="6" t="s">
        <v>21</v>
      </c>
      <c r="B43" s="32">
        <v>11.4975</v>
      </c>
      <c r="C43" s="32">
        <v>38.248</v>
      </c>
      <c r="D43" s="32">
        <v>0.0</v>
      </c>
      <c r="E43" s="32">
        <v>105.8877925</v>
      </c>
    </row>
    <row r="44" ht="15.75" customHeight="1">
      <c r="A44" s="6" t="s">
        <v>126</v>
      </c>
      <c r="B44" s="32">
        <v>16.51695</v>
      </c>
      <c r="C44" s="32">
        <v>0.241</v>
      </c>
      <c r="D44" s="32">
        <v>0.0</v>
      </c>
      <c r="E44" s="32">
        <v>97.41021685</v>
      </c>
    </row>
    <row r="45" ht="15.75" customHeight="1">
      <c r="A45" s="6" t="s">
        <v>95</v>
      </c>
      <c r="B45" s="32">
        <v>14.373446</v>
      </c>
      <c r="C45" s="32">
        <v>0.187</v>
      </c>
      <c r="D45" s="32">
        <v>0.0</v>
      </c>
      <c r="E45" s="32">
        <v>84.745982818</v>
      </c>
    </row>
    <row r="46" ht="15.75" customHeight="1">
      <c r="A46" s="6" t="s">
        <v>127</v>
      </c>
      <c r="B46" s="32">
        <v>0.0</v>
      </c>
      <c r="C46" s="32">
        <v>83.22</v>
      </c>
      <c r="D46" s="32">
        <v>0.0</v>
      </c>
      <c r="E46" s="32">
        <v>83.22</v>
      </c>
    </row>
    <row r="47" ht="15.75" customHeight="1">
      <c r="A47" s="6" t="s">
        <v>97</v>
      </c>
      <c r="B47" s="32">
        <v>3.120432</v>
      </c>
      <c r="C47" s="32">
        <v>53.258</v>
      </c>
      <c r="D47" s="32">
        <v>8.883</v>
      </c>
      <c r="E47" s="32">
        <v>80.498501456</v>
      </c>
    </row>
    <row r="48" ht="15.75" customHeight="1">
      <c r="A48" s="6" t="s">
        <v>76</v>
      </c>
      <c r="B48" s="32">
        <v>6.095805</v>
      </c>
      <c r="C48" s="32">
        <v>14.625</v>
      </c>
      <c r="D48" s="32">
        <v>28.799</v>
      </c>
      <c r="E48" s="32">
        <v>79.285620815</v>
      </c>
    </row>
    <row r="49" ht="15.75" customHeight="1">
      <c r="A49" s="6" t="s">
        <v>19</v>
      </c>
      <c r="B49" s="32">
        <v>12.007671</v>
      </c>
      <c r="C49" s="32">
        <v>0.297</v>
      </c>
      <c r="D49" s="32">
        <v>0.0</v>
      </c>
      <c r="E49" s="32">
        <v>70.938128493</v>
      </c>
    </row>
    <row r="50" ht="15.75" customHeight="1">
      <c r="A50" s="6" t="s">
        <v>61</v>
      </c>
      <c r="B50" s="32">
        <v>11.236658</v>
      </c>
      <c r="C50" s="32">
        <v>0.0</v>
      </c>
      <c r="D50" s="32">
        <v>0.0</v>
      </c>
      <c r="E50" s="32">
        <v>66.105259014</v>
      </c>
    </row>
    <row r="51" ht="15.75" customHeight="1">
      <c r="A51" s="6" t="s">
        <v>87</v>
      </c>
      <c r="B51" s="32">
        <v>6.947142</v>
      </c>
      <c r="C51" s="32">
        <v>5.84</v>
      </c>
      <c r="D51" s="32">
        <v>18.25</v>
      </c>
      <c r="E51" s="32">
        <v>64.960036386</v>
      </c>
    </row>
    <row r="52" ht="15.75" customHeight="1">
      <c r="A52" s="6" t="s">
        <v>48</v>
      </c>
      <c r="B52" s="32">
        <v>4.978336000000001</v>
      </c>
      <c r="C52" s="32">
        <v>30.487</v>
      </c>
      <c r="D52" s="32">
        <v>0.0</v>
      </c>
      <c r="E52" s="32">
        <v>59.77455068800001</v>
      </c>
    </row>
    <row r="53" ht="15.75" customHeight="1">
      <c r="A53" s="6" t="s">
        <v>91</v>
      </c>
      <c r="B53" s="32">
        <v>9.3</v>
      </c>
      <c r="C53" s="32">
        <v>0.0</v>
      </c>
      <c r="D53" s="32">
        <v>0.0</v>
      </c>
      <c r="E53" s="32">
        <v>54.71190000000001</v>
      </c>
    </row>
    <row r="54" ht="15.75" customHeight="1">
      <c r="A54" s="6" t="s">
        <v>63</v>
      </c>
      <c r="B54" s="32">
        <v>8.6408</v>
      </c>
      <c r="C54" s="32">
        <v>1.704</v>
      </c>
      <c r="D54" s="32">
        <v>0.0</v>
      </c>
      <c r="E54" s="32">
        <v>52.5378264</v>
      </c>
    </row>
    <row r="55" ht="15.75" customHeight="1">
      <c r="A55" s="6" t="s">
        <v>90</v>
      </c>
      <c r="B55" s="32">
        <v>3.4675</v>
      </c>
      <c r="C55" s="32">
        <v>31.455</v>
      </c>
      <c r="D55" s="32">
        <v>0.0</v>
      </c>
      <c r="E55" s="32">
        <v>51.8543025</v>
      </c>
    </row>
    <row r="56" ht="15.75" customHeight="1">
      <c r="A56" s="6" t="s">
        <v>24</v>
      </c>
      <c r="B56" s="32">
        <v>0.0</v>
      </c>
      <c r="C56" s="32">
        <v>45.644</v>
      </c>
      <c r="D56" s="32">
        <v>0.0</v>
      </c>
      <c r="E56" s="32">
        <v>45.644</v>
      </c>
    </row>
    <row r="57" ht="15.75" customHeight="1">
      <c r="A57" s="6" t="s">
        <v>132</v>
      </c>
      <c r="B57" s="32">
        <v>0.0</v>
      </c>
      <c r="C57" s="32">
        <v>43.252</v>
      </c>
      <c r="D57" s="32">
        <v>0.0</v>
      </c>
      <c r="E57" s="32">
        <v>43.252</v>
      </c>
    </row>
    <row r="58" ht="15.75" customHeight="1">
      <c r="A58" s="6" t="s">
        <v>86</v>
      </c>
      <c r="B58" s="32">
        <v>0.0</v>
      </c>
      <c r="C58" s="32">
        <v>0.0</v>
      </c>
      <c r="D58" s="32">
        <v>41.61</v>
      </c>
      <c r="E58" s="32">
        <v>41.61</v>
      </c>
    </row>
    <row r="59" ht="15.75" customHeight="1">
      <c r="A59" s="6" t="s">
        <v>37</v>
      </c>
      <c r="B59" s="32">
        <v>5.16327</v>
      </c>
      <c r="C59" s="32">
        <v>10.849</v>
      </c>
      <c r="D59" s="32">
        <v>0.0</v>
      </c>
      <c r="E59" s="32">
        <v>41.22451741</v>
      </c>
    </row>
    <row r="60" ht="15.75" customHeight="1">
      <c r="A60" s="6" t="s">
        <v>83</v>
      </c>
      <c r="B60" s="32">
        <v>0.0</v>
      </c>
      <c r="C60" s="32">
        <v>37.814</v>
      </c>
      <c r="D60" s="32">
        <v>0.0</v>
      </c>
      <c r="E60" s="32">
        <v>37.814</v>
      </c>
    </row>
    <row r="61" ht="15.75" customHeight="1">
      <c r="A61" s="6" t="s">
        <v>38</v>
      </c>
      <c r="B61" s="32">
        <v>0.0</v>
      </c>
      <c r="C61" s="32">
        <v>33.908</v>
      </c>
      <c r="D61" s="32">
        <v>0.0</v>
      </c>
      <c r="E61" s="32">
        <v>33.908</v>
      </c>
    </row>
    <row r="62" ht="15.75" customHeight="1">
      <c r="A62" s="6" t="s">
        <v>31</v>
      </c>
      <c r="B62" s="32">
        <v>1.362005</v>
      </c>
      <c r="C62" s="32">
        <v>22.423</v>
      </c>
      <c r="D62" s="32">
        <v>0.0</v>
      </c>
      <c r="E62" s="32">
        <v>30.435675415</v>
      </c>
    </row>
    <row r="63" ht="15.75" customHeight="1">
      <c r="A63" s="6" t="s">
        <v>73</v>
      </c>
      <c r="B63" s="32">
        <v>4.205340000000001</v>
      </c>
      <c r="C63" s="32">
        <v>5.206</v>
      </c>
      <c r="D63" s="32">
        <v>0.0</v>
      </c>
      <c r="E63" s="32">
        <v>29.94601522</v>
      </c>
    </row>
    <row r="64" ht="15.75" customHeight="1">
      <c r="A64" s="6" t="s">
        <v>64</v>
      </c>
      <c r="B64" s="32">
        <v>2.763173</v>
      </c>
      <c r="C64" s="32">
        <v>0.0</v>
      </c>
      <c r="D64" s="32">
        <v>13.453</v>
      </c>
      <c r="E64" s="32">
        <v>29.708746759</v>
      </c>
    </row>
    <row r="65" ht="15.75" customHeight="1">
      <c r="A65" s="6" t="s">
        <v>17</v>
      </c>
      <c r="B65" s="32">
        <v>0.0</v>
      </c>
      <c r="C65" s="32">
        <v>28.105</v>
      </c>
      <c r="D65" s="32">
        <v>0.0</v>
      </c>
      <c r="E65" s="32">
        <v>28.105</v>
      </c>
    </row>
    <row r="66" ht="15.75" customHeight="1">
      <c r="A66" s="6" t="s">
        <v>79</v>
      </c>
      <c r="B66" s="32">
        <v>4.34301</v>
      </c>
      <c r="C66" s="32">
        <v>0.0</v>
      </c>
      <c r="D66" s="32">
        <v>0.0</v>
      </c>
      <c r="E66" s="32">
        <v>25.54992783</v>
      </c>
    </row>
    <row r="67" ht="15.75" customHeight="1">
      <c r="A67" s="6" t="s">
        <v>72</v>
      </c>
      <c r="B67" s="32">
        <v>3.42887</v>
      </c>
      <c r="C67" s="32">
        <v>0.565</v>
      </c>
      <c r="D67" s="32">
        <v>0.0</v>
      </c>
      <c r="E67" s="32">
        <v>20.73704221</v>
      </c>
    </row>
    <row r="68" ht="15.75" customHeight="1">
      <c r="A68" s="6" t="s">
        <v>88</v>
      </c>
      <c r="B68" s="32">
        <v>2.2855</v>
      </c>
      <c r="C68" s="32">
        <v>3.723</v>
      </c>
      <c r="D68" s="32">
        <v>0.209</v>
      </c>
      <c r="E68" s="32">
        <v>17.3775965</v>
      </c>
    </row>
    <row r="69" ht="15.75" customHeight="1">
      <c r="A69" s="6" t="s">
        <v>28</v>
      </c>
      <c r="B69" s="32">
        <v>0.0</v>
      </c>
      <c r="C69" s="32">
        <v>14.725</v>
      </c>
      <c r="D69" s="32">
        <v>0.0</v>
      </c>
      <c r="E69" s="32">
        <v>14.725</v>
      </c>
    </row>
    <row r="70" ht="15.75" customHeight="1">
      <c r="A70" s="6" t="s">
        <v>84</v>
      </c>
      <c r="B70" s="32">
        <v>1.750919</v>
      </c>
      <c r="C70" s="32">
        <v>0.0</v>
      </c>
      <c r="D70" s="32">
        <v>0.0</v>
      </c>
      <c r="E70" s="32">
        <v>10.300656477</v>
      </c>
    </row>
    <row r="71" ht="15.75" customHeight="1">
      <c r="A71" s="6" t="s">
        <v>30</v>
      </c>
      <c r="B71" s="32">
        <v>1.591744</v>
      </c>
      <c r="C71" s="32">
        <v>0.0</v>
      </c>
      <c r="D71" s="32">
        <v>0.0</v>
      </c>
      <c r="E71" s="32">
        <v>9.364229952</v>
      </c>
    </row>
    <row r="72" ht="15.75" customHeight="1">
      <c r="A72" s="6" t="s">
        <v>46</v>
      </c>
      <c r="B72" s="32">
        <v>1.18864</v>
      </c>
      <c r="C72" s="32">
        <v>0.0</v>
      </c>
      <c r="D72" s="32">
        <v>0.0</v>
      </c>
      <c r="E72" s="32">
        <v>6.992769120000001</v>
      </c>
    </row>
    <row r="73" ht="15.75" customHeight="1">
      <c r="A73" s="6" t="s">
        <v>36</v>
      </c>
      <c r="B73" s="32">
        <v>0.0</v>
      </c>
      <c r="C73" s="32">
        <v>6.755</v>
      </c>
      <c r="D73" s="32">
        <v>0.0</v>
      </c>
      <c r="E73" s="32">
        <v>6.755</v>
      </c>
    </row>
    <row r="74" ht="15.75" customHeight="1">
      <c r="A74" s="6" t="s">
        <v>15</v>
      </c>
      <c r="B74" s="32">
        <v>0.0</v>
      </c>
      <c r="C74" s="32">
        <v>4.6</v>
      </c>
      <c r="D74" s="32">
        <v>0.0</v>
      </c>
      <c r="E74" s="32">
        <v>4.6</v>
      </c>
    </row>
    <row r="75" ht="15.75" customHeight="1">
      <c r="A75" s="6" t="s">
        <v>130</v>
      </c>
      <c r="B75" s="32">
        <v>0.0</v>
      </c>
      <c r="C75" s="32">
        <v>4.484</v>
      </c>
      <c r="D75" s="32">
        <v>0.0</v>
      </c>
      <c r="E75" s="32">
        <v>4.484</v>
      </c>
    </row>
    <row r="76" ht="15.75" customHeight="1">
      <c r="A76" s="6" t="s">
        <v>49</v>
      </c>
      <c r="B76" s="32">
        <v>0.658276</v>
      </c>
      <c r="C76" s="32">
        <v>0.0</v>
      </c>
      <c r="D76" s="32">
        <v>0.0</v>
      </c>
      <c r="E76" s="32">
        <v>3.872637708</v>
      </c>
    </row>
    <row r="77" ht="15.75" customHeight="1">
      <c r="A77" s="6" t="s">
        <v>25</v>
      </c>
      <c r="B77" s="32">
        <v>0.5803659999999999</v>
      </c>
      <c r="C77" s="32">
        <v>0.0</v>
      </c>
      <c r="D77" s="32">
        <v>0.0</v>
      </c>
      <c r="E77" s="32">
        <v>3.414293177999999</v>
      </c>
    </row>
    <row r="78" ht="15.75" customHeight="1">
      <c r="A78" s="6" t="s">
        <v>41</v>
      </c>
      <c r="B78" s="32">
        <v>0.13</v>
      </c>
      <c r="C78" s="32">
        <v>2.19</v>
      </c>
      <c r="D78" s="32">
        <v>0.0</v>
      </c>
      <c r="E78" s="32">
        <v>2.95479</v>
      </c>
    </row>
    <row r="79" ht="15.75" customHeight="1">
      <c r="A79" s="6" t="s">
        <v>128</v>
      </c>
      <c r="B79" s="32">
        <v>0.0</v>
      </c>
      <c r="C79" s="32">
        <v>2.453</v>
      </c>
      <c r="D79" s="32">
        <v>0.0</v>
      </c>
      <c r="E79" s="32">
        <v>2.453</v>
      </c>
    </row>
    <row r="80" ht="15.75" customHeight="1">
      <c r="A80" s="6" t="s">
        <v>70</v>
      </c>
      <c r="B80" s="32">
        <v>0.0</v>
      </c>
      <c r="C80" s="32">
        <v>2.19</v>
      </c>
      <c r="D80" s="32">
        <v>0.0</v>
      </c>
      <c r="E80" s="32">
        <v>2.19</v>
      </c>
    </row>
    <row r="81" ht="15.75" customHeight="1">
      <c r="A81" s="6"/>
      <c r="B81" s="33"/>
      <c r="C81" s="33"/>
      <c r="D81" s="33"/>
      <c r="E81" s="33"/>
    </row>
    <row r="82" ht="15.75" customHeight="1">
      <c r="A82" s="9" t="s">
        <v>10</v>
      </c>
      <c r="B82" s="34">
        <f t="shared" ref="B82:E82" si="1">SUM(B3:B80)</f>
        <v>4083.003486</v>
      </c>
      <c r="C82" s="34">
        <f t="shared" si="1"/>
        <v>31100.269</v>
      </c>
      <c r="D82" s="34">
        <f t="shared" si="1"/>
        <v>849.732</v>
      </c>
      <c r="E82" s="34">
        <f t="shared" si="1"/>
        <v>55970.31051</v>
      </c>
    </row>
    <row r="83" ht="15.75" customHeight="1">
      <c r="A83" s="6"/>
      <c r="B83" s="33"/>
      <c r="C83" s="33"/>
      <c r="D83" s="33"/>
      <c r="E83" s="33"/>
    </row>
    <row r="84" ht="15.75" customHeight="1">
      <c r="A84" s="13" t="s">
        <v>145</v>
      </c>
    </row>
  </sheetData>
  <mergeCells count="4">
    <mergeCell ref="A1:E1"/>
    <mergeCell ref="A2:E2"/>
    <mergeCell ref="A3:E3"/>
    <mergeCell ref="A84:E84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6" width="21.63"/>
  </cols>
  <sheetData>
    <row r="1">
      <c r="A1" s="22" t="s">
        <v>140</v>
      </c>
    </row>
    <row r="2">
      <c r="A2" s="2" t="s">
        <v>146</v>
      </c>
    </row>
    <row r="3">
      <c r="A3" s="3" t="s">
        <v>2</v>
      </c>
    </row>
    <row r="4">
      <c r="A4" s="31" t="s">
        <v>147</v>
      </c>
      <c r="B4" s="31" t="s">
        <v>141</v>
      </c>
      <c r="C4" s="31" t="s">
        <v>142</v>
      </c>
      <c r="D4" s="30" t="s">
        <v>143</v>
      </c>
      <c r="E4" s="30" t="s">
        <v>144</v>
      </c>
      <c r="F4" s="35" t="s">
        <v>148</v>
      </c>
    </row>
    <row r="5">
      <c r="A5" s="6" t="s">
        <v>149</v>
      </c>
      <c r="B5" s="36">
        <v>2750.457762</v>
      </c>
      <c r="C5" s="36">
        <v>21565.075</v>
      </c>
      <c r="D5" s="36">
        <v>141.297</v>
      </c>
      <c r="E5" s="36">
        <v>37887.315013846</v>
      </c>
      <c r="F5" s="37">
        <f>E5/E9</f>
        <v>0.6769141816</v>
      </c>
    </row>
    <row r="6">
      <c r="A6" s="6" t="s">
        <v>150</v>
      </c>
      <c r="B6" s="36">
        <v>1223.744412</v>
      </c>
      <c r="C6" s="36">
        <v>9081.308</v>
      </c>
      <c r="D6" s="36">
        <v>581.086</v>
      </c>
      <c r="E6" s="36">
        <v>16861.682375796</v>
      </c>
      <c r="F6" s="37">
        <f>E6/E9</f>
        <v>0.3012594564</v>
      </c>
    </row>
    <row r="7">
      <c r="A7" s="6" t="s">
        <v>151</v>
      </c>
      <c r="B7" s="36">
        <v>108.852845</v>
      </c>
      <c r="C7" s="36">
        <v>453.905</v>
      </c>
      <c r="D7" s="36">
        <v>127.349</v>
      </c>
      <c r="E7" s="36">
        <v>1221.635287135</v>
      </c>
      <c r="F7" s="37">
        <f>E7/E9</f>
        <v>0.02182636195</v>
      </c>
    </row>
    <row r="8" ht="15.75" customHeight="1">
      <c r="A8" s="17"/>
      <c r="B8" s="38"/>
      <c r="C8" s="38"/>
      <c r="D8" s="38"/>
      <c r="E8" s="38"/>
      <c r="F8" s="38"/>
    </row>
    <row r="9" ht="15.75" customHeight="1">
      <c r="A9" s="9" t="s">
        <v>10</v>
      </c>
      <c r="B9" s="34">
        <f t="shared" ref="B9:E9" si="1">SUM(B5:B7)</f>
        <v>4083.055019</v>
      </c>
      <c r="C9" s="34">
        <f t="shared" si="1"/>
        <v>31100.288</v>
      </c>
      <c r="D9" s="34">
        <f t="shared" si="1"/>
        <v>849.732</v>
      </c>
      <c r="E9" s="34">
        <f t="shared" si="1"/>
        <v>55970.63268</v>
      </c>
      <c r="F9" s="39" t="s">
        <v>152</v>
      </c>
    </row>
    <row r="10" ht="15.75" customHeight="1">
      <c r="A10" s="17"/>
      <c r="B10" s="17"/>
      <c r="C10" s="17"/>
      <c r="D10" s="17"/>
      <c r="E10" s="17"/>
      <c r="F10" s="17"/>
    </row>
    <row r="11" ht="15.75" customHeight="1">
      <c r="A11" s="13" t="s">
        <v>145</v>
      </c>
    </row>
  </sheetData>
  <mergeCells count="4">
    <mergeCell ref="A1:F1"/>
    <mergeCell ref="A2:F2"/>
    <mergeCell ref="A3:F3"/>
    <mergeCell ref="A11:F11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2.63" defaultRowHeight="15.0"/>
  <cols>
    <col customWidth="1" min="1" max="5" width="22.38"/>
  </cols>
  <sheetData>
    <row r="1">
      <c r="A1" s="22" t="s">
        <v>140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5" t="s">
        <v>102</v>
      </c>
      <c r="B4" s="31" t="s">
        <v>141</v>
      </c>
      <c r="C4" s="31" t="s">
        <v>142</v>
      </c>
      <c r="D4" s="30" t="s">
        <v>143</v>
      </c>
      <c r="E4" s="30" t="s">
        <v>144</v>
      </c>
    </row>
    <row r="5" ht="15.75" customHeight="1">
      <c r="A5" s="6" t="s">
        <v>103</v>
      </c>
      <c r="B5" s="36">
        <v>1484.48891</v>
      </c>
      <c r="C5" s="36">
        <v>7897.555</v>
      </c>
      <c r="D5" s="36">
        <v>22.102</v>
      </c>
      <c r="E5" s="36">
        <v>16652.90525753</v>
      </c>
    </row>
    <row r="6" ht="15.75" customHeight="1">
      <c r="A6" s="6" t="s">
        <v>110</v>
      </c>
      <c r="B6" s="36">
        <v>324.751662</v>
      </c>
      <c r="C6" s="36">
        <v>8071.153999999999</v>
      </c>
      <c r="D6" s="36">
        <v>46.355</v>
      </c>
      <c r="E6" s="36">
        <v>10028.023027546</v>
      </c>
    </row>
    <row r="7" ht="15.75" customHeight="1">
      <c r="A7" s="6" t="s">
        <v>106</v>
      </c>
      <c r="B7" s="36">
        <v>600.988145</v>
      </c>
      <c r="C7" s="36">
        <v>2379.76</v>
      </c>
      <c r="D7" s="36">
        <v>31.731</v>
      </c>
      <c r="E7" s="36">
        <v>5947.104257035</v>
      </c>
    </row>
    <row r="8" ht="15.75" customHeight="1">
      <c r="A8" s="6" t="s">
        <v>104</v>
      </c>
      <c r="B8" s="36">
        <v>233.135946</v>
      </c>
      <c r="C8" s="36">
        <v>3697.576</v>
      </c>
      <c r="D8" s="36">
        <v>170.7</v>
      </c>
      <c r="E8" s="36">
        <v>5239.814770317999</v>
      </c>
    </row>
    <row r="9" ht="15.75" customHeight="1">
      <c r="A9" s="6" t="s">
        <v>111</v>
      </c>
      <c r="B9" s="36">
        <v>419.196755</v>
      </c>
      <c r="C9" s="36">
        <v>1991.434</v>
      </c>
      <c r="D9" s="36">
        <v>23.079</v>
      </c>
      <c r="E9" s="36">
        <v>4480.647509664999</v>
      </c>
    </row>
    <row r="10" ht="15.75" customHeight="1">
      <c r="A10" s="6" t="s">
        <v>114</v>
      </c>
      <c r="B10" s="36">
        <v>175.235598</v>
      </c>
      <c r="C10" s="36">
        <v>1773.083</v>
      </c>
      <c r="D10" s="36">
        <v>69.675</v>
      </c>
      <c r="E10" s="36">
        <v>2873.669023034</v>
      </c>
    </row>
    <row r="11" ht="15.75" customHeight="1">
      <c r="A11" s="6" t="s">
        <v>112</v>
      </c>
      <c r="B11" s="36">
        <v>231.231262</v>
      </c>
      <c r="C11" s="36">
        <v>1170.575</v>
      </c>
      <c r="D11" s="36">
        <v>0.0</v>
      </c>
      <c r="E11" s="36">
        <v>2530.908514346</v>
      </c>
    </row>
    <row r="12" ht="15.75" customHeight="1">
      <c r="A12" s="6" t="s">
        <v>115</v>
      </c>
      <c r="B12" s="36">
        <v>45.432341</v>
      </c>
      <c r="C12" s="36">
        <v>1721.275</v>
      </c>
      <c r="D12" s="36">
        <v>355.254</v>
      </c>
      <c r="E12" s="36">
        <v>2343.807462103</v>
      </c>
    </row>
    <row r="13" ht="15.75" customHeight="1">
      <c r="A13" s="6" t="s">
        <v>105</v>
      </c>
      <c r="B13" s="36">
        <v>166.174376</v>
      </c>
      <c r="C13" s="36">
        <v>1085.943</v>
      </c>
      <c r="D13" s="36">
        <v>2.555</v>
      </c>
      <c r="E13" s="36">
        <v>2066.101854008</v>
      </c>
    </row>
    <row r="14" ht="15.75" customHeight="1">
      <c r="A14" s="33" t="s">
        <v>109</v>
      </c>
      <c r="B14" s="36">
        <v>150.637547</v>
      </c>
      <c r="C14" s="36">
        <v>511.555</v>
      </c>
      <c r="D14" s="36">
        <v>96.578</v>
      </c>
      <c r="E14" s="36">
        <v>1494.333689001</v>
      </c>
    </row>
    <row r="15" ht="15.75" customHeight="1">
      <c r="A15" s="6" t="s">
        <v>113</v>
      </c>
      <c r="B15" s="36">
        <v>113.058294</v>
      </c>
      <c r="C15" s="36">
        <v>583.574</v>
      </c>
      <c r="D15" s="36">
        <v>0.0</v>
      </c>
      <c r="E15" s="36">
        <v>1248.695943602</v>
      </c>
    </row>
    <row r="16" ht="15.75" customHeight="1">
      <c r="A16" s="6" t="s">
        <v>116</v>
      </c>
      <c r="B16" s="36">
        <v>119.941777</v>
      </c>
      <c r="C16" s="36">
        <v>162.49</v>
      </c>
      <c r="D16" s="36">
        <v>31.703</v>
      </c>
      <c r="E16" s="36">
        <v>899.8104740909998</v>
      </c>
    </row>
    <row r="17" ht="15.75" customHeight="1">
      <c r="A17" s="6" t="s">
        <v>107</v>
      </c>
      <c r="B17" s="36">
        <v>13.80407</v>
      </c>
      <c r="C17" s="36">
        <v>17.153</v>
      </c>
      <c r="D17" s="36">
        <v>0.0</v>
      </c>
      <c r="E17" s="36">
        <v>98.36234381</v>
      </c>
    </row>
    <row r="18" ht="15.75" customHeight="1">
      <c r="A18" s="6" t="s">
        <v>108</v>
      </c>
      <c r="B18" s="36">
        <v>4.978336000000001</v>
      </c>
      <c r="C18" s="36">
        <v>34.971</v>
      </c>
      <c r="D18" s="36">
        <v>0.0</v>
      </c>
      <c r="E18" s="36">
        <v>64.25855068800001</v>
      </c>
    </row>
    <row r="19" ht="15.75" customHeight="1">
      <c r="A19" s="6" t="s">
        <v>117</v>
      </c>
      <c r="B19" s="36">
        <v>0.0</v>
      </c>
      <c r="C19" s="36">
        <v>2.19</v>
      </c>
      <c r="D19" s="36">
        <v>0.0</v>
      </c>
      <c r="E19" s="36">
        <v>2.19</v>
      </c>
    </row>
    <row r="20" ht="15.75" customHeight="1">
      <c r="A20" s="5" t="s">
        <v>118</v>
      </c>
      <c r="B20" s="40" t="s">
        <v>153</v>
      </c>
      <c r="C20" s="41" t="s">
        <v>142</v>
      </c>
      <c r="D20" s="40" t="s">
        <v>143</v>
      </c>
      <c r="E20" s="40" t="s">
        <v>144</v>
      </c>
    </row>
    <row r="21" ht="15.75" customHeight="1">
      <c r="A21" s="6" t="s">
        <v>154</v>
      </c>
      <c r="B21" s="42">
        <v>220.667939</v>
      </c>
      <c r="C21" s="42">
        <v>3494.358</v>
      </c>
      <c r="D21" s="42">
        <v>424.929</v>
      </c>
      <c r="E21" s="42">
        <v>5217.476485137</v>
      </c>
    </row>
    <row r="22" ht="15.75" customHeight="1">
      <c r="A22" s="6" t="s">
        <v>155</v>
      </c>
      <c r="B22" s="42">
        <v>1717.624856</v>
      </c>
      <c r="C22" s="42">
        <v>11595.131</v>
      </c>
      <c r="D22" s="42">
        <v>192.802</v>
      </c>
      <c r="E22" s="42">
        <v>21892.720027848</v>
      </c>
    </row>
    <row r="23" ht="15.75" customHeight="1">
      <c r="A23" s="6" t="s">
        <v>156</v>
      </c>
      <c r="B23" s="42">
        <v>1238.87552</v>
      </c>
      <c r="C23" s="42">
        <v>12328.292</v>
      </c>
      <c r="D23" s="42">
        <v>166.012</v>
      </c>
      <c r="E23" s="42">
        <v>19782.60868416</v>
      </c>
    </row>
    <row r="24" ht="15.75" customHeight="1">
      <c r="A24" s="6" t="s">
        <v>157</v>
      </c>
      <c r="B24" s="42">
        <v>785.944927</v>
      </c>
      <c r="C24" s="42">
        <v>3517.827</v>
      </c>
      <c r="D24" s="42">
        <v>34.286</v>
      </c>
      <c r="E24" s="42">
        <v>8175.827005541</v>
      </c>
    </row>
    <row r="25" ht="15.75" customHeight="1">
      <c r="A25" s="6" t="s">
        <v>158</v>
      </c>
      <c r="B25" s="42">
        <v>119.941777</v>
      </c>
      <c r="C25" s="42">
        <v>164.68</v>
      </c>
      <c r="D25" s="42">
        <v>31.703</v>
      </c>
      <c r="E25" s="42">
        <v>902.000474091</v>
      </c>
    </row>
    <row r="26" ht="15.75" customHeight="1">
      <c r="A26" s="43" t="s">
        <v>10</v>
      </c>
      <c r="B26" s="44">
        <f t="shared" ref="B26:E26" si="1">sum(B21:B25)</f>
        <v>4083.055019</v>
      </c>
      <c r="C26" s="44">
        <f t="shared" si="1"/>
        <v>31100.288</v>
      </c>
      <c r="D26" s="44">
        <f t="shared" si="1"/>
        <v>849.732</v>
      </c>
      <c r="E26" s="44">
        <f t="shared" si="1"/>
        <v>55970.63268</v>
      </c>
    </row>
    <row r="27" ht="15.75" customHeight="1">
      <c r="A27" s="13" t="s">
        <v>145</v>
      </c>
    </row>
  </sheetData>
  <mergeCells count="4">
    <mergeCell ref="A1:E1"/>
    <mergeCell ref="A2:E2"/>
    <mergeCell ref="A3:E3"/>
    <mergeCell ref="A27:E27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2" width="13.63"/>
  </cols>
  <sheetData>
    <row r="1">
      <c r="A1" s="1" t="s">
        <v>159</v>
      </c>
    </row>
    <row r="2">
      <c r="A2" s="2" t="s">
        <v>1</v>
      </c>
    </row>
    <row r="3">
      <c r="A3" s="3" t="s">
        <v>2</v>
      </c>
    </row>
    <row r="4">
      <c r="A4" s="45" t="s">
        <v>3</v>
      </c>
      <c r="B4" s="45" t="s">
        <v>160</v>
      </c>
      <c r="C4" s="45" t="s">
        <v>161</v>
      </c>
      <c r="D4" s="45" t="s">
        <v>162</v>
      </c>
      <c r="E4" s="45" t="s">
        <v>163</v>
      </c>
      <c r="F4" s="45" t="s">
        <v>164</v>
      </c>
      <c r="G4" s="45" t="s">
        <v>165</v>
      </c>
      <c r="H4" s="45" t="s">
        <v>166</v>
      </c>
      <c r="I4" s="45" t="s">
        <v>167</v>
      </c>
      <c r="J4" s="45" t="s">
        <v>168</v>
      </c>
      <c r="K4" s="45" t="s">
        <v>169</v>
      </c>
      <c r="L4" s="45" t="s">
        <v>170</v>
      </c>
    </row>
    <row r="5">
      <c r="A5" s="6" t="s">
        <v>130</v>
      </c>
      <c r="B5" s="7">
        <v>1.0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</row>
    <row r="6">
      <c r="A6" s="6" t="s">
        <v>11</v>
      </c>
      <c r="B6" s="7">
        <v>36.0</v>
      </c>
      <c r="C6" s="7">
        <v>1.0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2.0</v>
      </c>
      <c r="J6" s="7">
        <v>0.0</v>
      </c>
      <c r="K6" s="7">
        <v>0.0</v>
      </c>
      <c r="L6" s="7">
        <v>0.0</v>
      </c>
    </row>
    <row r="7">
      <c r="A7" s="6" t="s">
        <v>12</v>
      </c>
      <c r="B7" s="7">
        <v>54.0</v>
      </c>
      <c r="C7" s="7">
        <v>0.0</v>
      </c>
      <c r="D7" s="7">
        <v>1.0</v>
      </c>
      <c r="E7" s="7">
        <v>0.0</v>
      </c>
      <c r="F7" s="7">
        <v>2.0</v>
      </c>
      <c r="G7" s="7">
        <v>0.0</v>
      </c>
      <c r="H7" s="7">
        <v>2.0</v>
      </c>
      <c r="I7" s="7">
        <v>1.0</v>
      </c>
      <c r="J7" s="7">
        <v>0.0</v>
      </c>
      <c r="K7" s="7">
        <v>0.0</v>
      </c>
      <c r="L7" s="7">
        <v>1.0</v>
      </c>
    </row>
    <row r="8">
      <c r="A8" s="6" t="s">
        <v>13</v>
      </c>
      <c r="B8" s="7">
        <v>25.0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</row>
    <row r="9">
      <c r="A9" s="6" t="s">
        <v>14</v>
      </c>
      <c r="B9" s="7">
        <v>64.0</v>
      </c>
      <c r="C9" s="7">
        <v>0.0</v>
      </c>
      <c r="D9" s="7">
        <v>0.0</v>
      </c>
      <c r="E9" s="7">
        <v>1.0</v>
      </c>
      <c r="F9" s="7">
        <v>1.0</v>
      </c>
      <c r="G9" s="7">
        <v>2.0</v>
      </c>
      <c r="H9" s="7">
        <v>1.0</v>
      </c>
      <c r="I9" s="7">
        <v>1.0</v>
      </c>
      <c r="J9" s="7">
        <v>6.0</v>
      </c>
      <c r="K9" s="7">
        <v>4.0</v>
      </c>
      <c r="L9" s="7">
        <v>0.0</v>
      </c>
    </row>
    <row r="10">
      <c r="A10" s="6" t="s">
        <v>15</v>
      </c>
      <c r="B10" s="7">
        <v>2.0</v>
      </c>
      <c r="C10" s="7">
        <v>0.0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1.0</v>
      </c>
      <c r="K10" s="7">
        <v>1.0</v>
      </c>
      <c r="L10" s="7">
        <v>0.0</v>
      </c>
    </row>
    <row r="11">
      <c r="A11" s="6" t="s">
        <v>16</v>
      </c>
      <c r="B11" s="7">
        <v>14.0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1.0</v>
      </c>
      <c r="L11" s="7">
        <v>0.0</v>
      </c>
    </row>
    <row r="12">
      <c r="A12" s="6" t="s">
        <v>17</v>
      </c>
      <c r="B12" s="7">
        <v>0.0</v>
      </c>
      <c r="C12" s="7">
        <v>0.0</v>
      </c>
      <c r="D12" s="7">
        <v>0.0</v>
      </c>
      <c r="E12" s="7">
        <v>1.0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</row>
    <row r="13">
      <c r="A13" s="6" t="s">
        <v>18</v>
      </c>
      <c r="B13" s="7">
        <v>6.0</v>
      </c>
      <c r="C13" s="7">
        <v>0.0</v>
      </c>
      <c r="D13" s="7">
        <v>1.0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</row>
    <row r="14">
      <c r="A14" s="6" t="s">
        <v>126</v>
      </c>
      <c r="B14" s="7">
        <v>5.0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</row>
    <row r="15">
      <c r="A15" s="6" t="s">
        <v>19</v>
      </c>
      <c r="B15" s="7">
        <v>7.0</v>
      </c>
      <c r="C15" s="7">
        <v>3.0</v>
      </c>
      <c r="D15" s="7">
        <v>0.0</v>
      </c>
      <c r="E15" s="7">
        <v>0.0</v>
      </c>
      <c r="F15" s="7">
        <v>0.0</v>
      </c>
      <c r="G15" s="7">
        <v>1.0</v>
      </c>
      <c r="H15" s="7">
        <v>0.0</v>
      </c>
      <c r="I15" s="7">
        <v>0.0</v>
      </c>
      <c r="J15" s="7">
        <v>1.0</v>
      </c>
      <c r="K15" s="7">
        <v>1.0</v>
      </c>
      <c r="L15" s="7">
        <v>0.0</v>
      </c>
    </row>
    <row r="16">
      <c r="A16" s="6" t="s">
        <v>20</v>
      </c>
      <c r="B16" s="7">
        <v>140.0</v>
      </c>
      <c r="C16" s="7">
        <v>0.0</v>
      </c>
      <c r="D16" s="7">
        <v>1.0</v>
      </c>
      <c r="E16" s="7">
        <v>1.0</v>
      </c>
      <c r="F16" s="7">
        <v>0.0</v>
      </c>
      <c r="G16" s="7">
        <v>4.0</v>
      </c>
      <c r="H16" s="7">
        <v>2.0</v>
      </c>
      <c r="I16" s="7">
        <v>3.0</v>
      </c>
      <c r="J16" s="7">
        <v>3.0</v>
      </c>
      <c r="K16" s="7">
        <v>1.0</v>
      </c>
      <c r="L16" s="7">
        <v>1.0</v>
      </c>
    </row>
    <row r="17">
      <c r="A17" s="6" t="s">
        <v>21</v>
      </c>
      <c r="B17" s="7">
        <v>9.0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1.0</v>
      </c>
      <c r="I17" s="7">
        <v>0.0</v>
      </c>
      <c r="J17" s="7">
        <v>0.0</v>
      </c>
      <c r="K17" s="7">
        <v>0.0</v>
      </c>
      <c r="L17" s="7">
        <v>0.0</v>
      </c>
    </row>
    <row r="18">
      <c r="A18" s="6" t="s">
        <v>22</v>
      </c>
      <c r="B18" s="7">
        <v>2.0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</row>
    <row r="19">
      <c r="A19" s="6" t="s">
        <v>23</v>
      </c>
      <c r="B19" s="7">
        <v>936.0</v>
      </c>
      <c r="C19" s="7">
        <v>3.0</v>
      </c>
      <c r="D19" s="7">
        <v>5.0</v>
      </c>
      <c r="E19" s="7">
        <v>1.0</v>
      </c>
      <c r="F19" s="7">
        <v>0.0</v>
      </c>
      <c r="G19" s="7">
        <v>2.0</v>
      </c>
      <c r="H19" s="7">
        <v>0.0</v>
      </c>
      <c r="I19" s="7">
        <v>0.0</v>
      </c>
      <c r="J19" s="7">
        <v>1.0</v>
      </c>
      <c r="K19" s="7">
        <v>9.0</v>
      </c>
      <c r="L19" s="7">
        <v>0.0</v>
      </c>
    </row>
    <row r="20">
      <c r="A20" s="6" t="s">
        <v>24</v>
      </c>
      <c r="B20" s="7">
        <v>3.0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</row>
    <row r="21">
      <c r="A21" s="6" t="s">
        <v>25</v>
      </c>
      <c r="B21" s="7">
        <v>1.0</v>
      </c>
      <c r="C21" s="7">
        <v>0.0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</row>
    <row r="22">
      <c r="A22" s="6" t="s">
        <v>26</v>
      </c>
      <c r="B22" s="7">
        <v>180.0</v>
      </c>
      <c r="C22" s="7">
        <v>2.0</v>
      </c>
      <c r="D22" s="7">
        <v>5.0</v>
      </c>
      <c r="E22" s="7">
        <v>1.0</v>
      </c>
      <c r="F22" s="7">
        <v>6.0</v>
      </c>
      <c r="G22" s="7">
        <v>3.0</v>
      </c>
      <c r="H22" s="7">
        <v>4.0</v>
      </c>
      <c r="I22" s="7">
        <v>5.0</v>
      </c>
      <c r="J22" s="7">
        <v>6.0</v>
      </c>
      <c r="K22" s="7">
        <v>5.0</v>
      </c>
      <c r="L22" s="7">
        <v>2.0</v>
      </c>
    </row>
    <row r="23">
      <c r="A23" s="6" t="s">
        <v>27</v>
      </c>
      <c r="B23" s="7">
        <v>112.0</v>
      </c>
      <c r="C23" s="7">
        <v>0.0</v>
      </c>
      <c r="D23" s="7">
        <v>1.0</v>
      </c>
      <c r="E23" s="7">
        <v>0.0</v>
      </c>
      <c r="F23" s="7">
        <v>2.0</v>
      </c>
      <c r="G23" s="7">
        <v>1.0</v>
      </c>
      <c r="H23" s="7">
        <v>0.0</v>
      </c>
      <c r="I23" s="7">
        <v>0.0</v>
      </c>
      <c r="J23" s="7">
        <v>1.0</v>
      </c>
      <c r="K23" s="7">
        <v>0.0</v>
      </c>
      <c r="L23" s="7">
        <v>0.0</v>
      </c>
    </row>
    <row r="24" ht="15.75" customHeight="1">
      <c r="A24" s="6" t="s">
        <v>28</v>
      </c>
      <c r="B24" s="7">
        <v>5.0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2.0</v>
      </c>
      <c r="J24" s="7">
        <v>0.0</v>
      </c>
      <c r="K24" s="7">
        <v>0.0</v>
      </c>
      <c r="L24" s="7">
        <v>0.0</v>
      </c>
    </row>
    <row r="25" ht="15.75" customHeight="1">
      <c r="A25" s="6" t="s">
        <v>29</v>
      </c>
      <c r="B25" s="7">
        <v>1.0</v>
      </c>
      <c r="C25" s="7">
        <v>0.0</v>
      </c>
      <c r="D25" s="7">
        <v>0.0</v>
      </c>
      <c r="E25" s="7">
        <v>1.0</v>
      </c>
      <c r="F25" s="7">
        <v>1.0</v>
      </c>
      <c r="G25" s="7">
        <v>0.0</v>
      </c>
      <c r="H25" s="7">
        <v>0.0</v>
      </c>
      <c r="I25" s="7">
        <v>2.0</v>
      </c>
      <c r="J25" s="7">
        <v>0.0</v>
      </c>
      <c r="K25" s="7">
        <v>0.0</v>
      </c>
      <c r="L25" s="7">
        <v>0.0</v>
      </c>
    </row>
    <row r="26" ht="15.75" customHeight="1">
      <c r="A26" s="6" t="s">
        <v>30</v>
      </c>
      <c r="B26" s="7">
        <v>3.0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2.0</v>
      </c>
      <c r="I26" s="7">
        <v>0.0</v>
      </c>
      <c r="J26" s="7">
        <v>0.0</v>
      </c>
      <c r="K26" s="7">
        <v>1.0</v>
      </c>
      <c r="L26" s="7">
        <v>1.0</v>
      </c>
    </row>
    <row r="27" ht="15.75" customHeight="1">
      <c r="A27" s="6" t="s">
        <v>31</v>
      </c>
      <c r="B27" s="7">
        <v>20.0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2.0</v>
      </c>
      <c r="K27" s="7">
        <v>0.0</v>
      </c>
      <c r="L27" s="7">
        <v>0.0</v>
      </c>
    </row>
    <row r="28" ht="15.75" customHeight="1">
      <c r="A28" s="6" t="s">
        <v>32</v>
      </c>
      <c r="B28" s="7">
        <v>80.0</v>
      </c>
      <c r="C28" s="7">
        <v>1.0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1.0</v>
      </c>
      <c r="L28" s="7">
        <v>0.0</v>
      </c>
    </row>
    <row r="29" ht="15.75" customHeight="1">
      <c r="A29" s="6" t="s">
        <v>33</v>
      </c>
      <c r="B29" s="7">
        <v>57.0</v>
      </c>
      <c r="C29" s="7">
        <v>2.0</v>
      </c>
      <c r="D29" s="7">
        <v>0.0</v>
      </c>
      <c r="E29" s="7">
        <v>1.0</v>
      </c>
      <c r="F29" s="7">
        <v>2.0</v>
      </c>
      <c r="G29" s="7">
        <v>3.0</v>
      </c>
      <c r="H29" s="7">
        <v>1.0</v>
      </c>
      <c r="I29" s="7">
        <v>1.0</v>
      </c>
      <c r="J29" s="7">
        <v>1.0</v>
      </c>
      <c r="K29" s="7">
        <v>0.0</v>
      </c>
      <c r="L29" s="7">
        <v>1.0</v>
      </c>
    </row>
    <row r="30" ht="15.75" customHeight="1">
      <c r="A30" s="6" t="s">
        <v>34</v>
      </c>
      <c r="B30" s="7">
        <v>3.0</v>
      </c>
      <c r="C30" s="7">
        <v>0.0</v>
      </c>
      <c r="D30" s="7">
        <v>0.0</v>
      </c>
      <c r="E30" s="7">
        <v>1.0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</row>
    <row r="31" ht="15.75" customHeight="1">
      <c r="A31" s="6" t="s">
        <v>35</v>
      </c>
      <c r="B31" s="7">
        <v>2.0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</row>
    <row r="32" ht="15.75" customHeight="1">
      <c r="A32" s="6" t="s">
        <v>37</v>
      </c>
      <c r="B32" s="7">
        <v>50.0</v>
      </c>
      <c r="C32" s="7">
        <v>0.0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</row>
    <row r="33" ht="15.75" customHeight="1">
      <c r="A33" s="6" t="s">
        <v>38</v>
      </c>
      <c r="B33" s="7">
        <v>1.0</v>
      </c>
      <c r="C33" s="7">
        <v>0.0</v>
      </c>
      <c r="D33" s="7">
        <v>0.0</v>
      </c>
      <c r="E33" s="7">
        <v>0.0</v>
      </c>
      <c r="F33" s="7">
        <v>1.0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</row>
    <row r="34" ht="15.75" customHeight="1">
      <c r="A34" s="6" t="s">
        <v>39</v>
      </c>
      <c r="B34" s="7">
        <v>0.0</v>
      </c>
      <c r="C34" s="7">
        <v>0.0</v>
      </c>
      <c r="D34" s="7">
        <v>1.0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</row>
    <row r="35" ht="15.75" customHeight="1">
      <c r="A35" s="6" t="s">
        <v>128</v>
      </c>
      <c r="B35" s="7">
        <v>1.0</v>
      </c>
      <c r="C35" s="7">
        <v>0.0</v>
      </c>
      <c r="D35" s="7">
        <v>0.0</v>
      </c>
      <c r="E35" s="7">
        <v>0.0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</row>
    <row r="36" ht="15.75" customHeight="1">
      <c r="A36" s="6" t="s">
        <v>40</v>
      </c>
      <c r="B36" s="7">
        <v>1.0</v>
      </c>
      <c r="C36" s="7">
        <v>0.0</v>
      </c>
      <c r="D36" s="7">
        <v>3.0</v>
      </c>
      <c r="E36" s="7">
        <v>4.0</v>
      </c>
      <c r="F36" s="7">
        <v>4.0</v>
      </c>
      <c r="G36" s="7">
        <v>0.0</v>
      </c>
      <c r="H36" s="7">
        <v>2.0</v>
      </c>
      <c r="I36" s="7">
        <v>5.0</v>
      </c>
      <c r="J36" s="7">
        <v>3.0</v>
      </c>
      <c r="K36" s="7">
        <v>1.0</v>
      </c>
      <c r="L36" s="7">
        <v>0.0</v>
      </c>
    </row>
    <row r="37" ht="15.75" customHeight="1">
      <c r="A37" s="6" t="s">
        <v>41</v>
      </c>
      <c r="B37" s="7">
        <v>1.0</v>
      </c>
      <c r="C37" s="7">
        <v>0.0</v>
      </c>
      <c r="D37" s="7">
        <v>0.0</v>
      </c>
      <c r="E37" s="7">
        <v>0.0</v>
      </c>
      <c r="F37" s="7">
        <v>1.0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</row>
    <row r="38" ht="15.75" customHeight="1">
      <c r="A38" s="6" t="s">
        <v>42</v>
      </c>
      <c r="B38" s="7">
        <v>12.0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</row>
    <row r="39" ht="15.75" customHeight="1">
      <c r="A39" s="6" t="s">
        <v>43</v>
      </c>
      <c r="B39" s="7">
        <v>51.0</v>
      </c>
      <c r="C39" s="7">
        <v>1.0</v>
      </c>
      <c r="D39" s="7">
        <v>1.0</v>
      </c>
      <c r="E39" s="7">
        <v>3.0</v>
      </c>
      <c r="F39" s="7">
        <v>1.0</v>
      </c>
      <c r="G39" s="7">
        <v>0.0</v>
      </c>
      <c r="H39" s="7">
        <v>1.0</v>
      </c>
      <c r="I39" s="7">
        <v>2.0</v>
      </c>
      <c r="J39" s="7">
        <v>3.0</v>
      </c>
      <c r="K39" s="7">
        <v>3.0</v>
      </c>
      <c r="L39" s="7">
        <v>1.0</v>
      </c>
    </row>
    <row r="40" ht="15.75" customHeight="1">
      <c r="A40" s="6" t="s">
        <v>44</v>
      </c>
      <c r="B40" s="7">
        <v>107.0</v>
      </c>
      <c r="C40" s="7">
        <v>1.0</v>
      </c>
      <c r="D40" s="7">
        <v>0.0</v>
      </c>
      <c r="E40" s="7">
        <v>0.0</v>
      </c>
      <c r="F40" s="7">
        <v>2.0</v>
      </c>
      <c r="G40" s="7">
        <v>0.0</v>
      </c>
      <c r="H40" s="7">
        <v>0.0</v>
      </c>
      <c r="I40" s="7">
        <v>0.0</v>
      </c>
      <c r="J40" s="7">
        <v>1.0</v>
      </c>
      <c r="K40" s="7">
        <v>0.0</v>
      </c>
      <c r="L40" s="7">
        <v>0.0</v>
      </c>
    </row>
    <row r="41" ht="15.75" customHeight="1">
      <c r="A41" s="6" t="s">
        <v>45</v>
      </c>
      <c r="B41" s="7">
        <v>48.0</v>
      </c>
      <c r="C41" s="7">
        <v>1.0</v>
      </c>
      <c r="D41" s="7">
        <v>0.0</v>
      </c>
      <c r="E41" s="7">
        <v>1.0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</row>
    <row r="42" ht="15.75" customHeight="1">
      <c r="A42" s="6" t="s">
        <v>46</v>
      </c>
      <c r="B42" s="7">
        <v>4.0</v>
      </c>
      <c r="C42" s="7">
        <v>3.0</v>
      </c>
      <c r="D42" s="7">
        <v>3.0</v>
      </c>
      <c r="E42" s="7">
        <v>0.0</v>
      </c>
      <c r="F42" s="7">
        <v>2.0</v>
      </c>
      <c r="G42" s="7">
        <v>1.0</v>
      </c>
      <c r="H42" s="7">
        <v>0.0</v>
      </c>
      <c r="I42" s="7">
        <v>0.0</v>
      </c>
      <c r="J42" s="7">
        <v>2.0</v>
      </c>
      <c r="K42" s="7">
        <v>0.0</v>
      </c>
      <c r="L42" s="7">
        <v>0.0</v>
      </c>
    </row>
    <row r="43" ht="15.75" customHeight="1">
      <c r="A43" s="6" t="s">
        <v>47</v>
      </c>
      <c r="B43" s="7">
        <v>10.0</v>
      </c>
      <c r="C43" s="7">
        <v>0.0</v>
      </c>
      <c r="D43" s="7">
        <v>0.0</v>
      </c>
      <c r="E43" s="7">
        <v>0.0</v>
      </c>
      <c r="F43" s="7">
        <v>1.0</v>
      </c>
      <c r="G43" s="7">
        <v>0.0</v>
      </c>
      <c r="H43" s="7">
        <v>0.0</v>
      </c>
      <c r="I43" s="7">
        <v>4.0</v>
      </c>
      <c r="J43" s="7">
        <v>0.0</v>
      </c>
      <c r="K43" s="7">
        <v>0.0</v>
      </c>
      <c r="L43" s="7">
        <v>0.0</v>
      </c>
    </row>
    <row r="44" ht="15.75" customHeight="1">
      <c r="A44" s="6" t="s">
        <v>48</v>
      </c>
      <c r="B44" s="7">
        <v>33.0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</row>
    <row r="45" ht="15.75" customHeight="1">
      <c r="A45" s="6" t="s">
        <v>49</v>
      </c>
      <c r="B45" s="7">
        <v>1.0</v>
      </c>
      <c r="C45" s="7">
        <v>0.0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</row>
    <row r="46" ht="15.75" customHeight="1">
      <c r="A46" s="6" t="s">
        <v>50</v>
      </c>
      <c r="B46" s="7">
        <v>1.0</v>
      </c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</row>
    <row r="47" ht="15.75" customHeight="1">
      <c r="A47" s="6" t="s">
        <v>51</v>
      </c>
      <c r="B47" s="7">
        <v>37.0</v>
      </c>
      <c r="C47" s="7">
        <v>0.0</v>
      </c>
      <c r="D47" s="7">
        <v>0.0</v>
      </c>
      <c r="E47" s="7">
        <v>0.0</v>
      </c>
      <c r="F47" s="7">
        <v>0.0</v>
      </c>
      <c r="G47" s="7">
        <v>0.0</v>
      </c>
      <c r="H47" s="7">
        <v>1.0</v>
      </c>
      <c r="I47" s="7">
        <v>0.0</v>
      </c>
      <c r="J47" s="7">
        <v>0.0</v>
      </c>
      <c r="K47" s="7">
        <v>1.0</v>
      </c>
      <c r="L47" s="7">
        <v>0.0</v>
      </c>
    </row>
    <row r="48" ht="15.75" customHeight="1">
      <c r="A48" s="6" t="s">
        <v>52</v>
      </c>
      <c r="B48" s="7">
        <v>2.0</v>
      </c>
      <c r="C48" s="7">
        <v>0.0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</row>
    <row r="49" ht="15.75" customHeight="1">
      <c r="A49" s="6" t="s">
        <v>53</v>
      </c>
      <c r="B49" s="7">
        <v>18.0</v>
      </c>
      <c r="C49" s="7">
        <v>0.0</v>
      </c>
      <c r="D49" s="7">
        <v>0.0</v>
      </c>
      <c r="E49" s="7">
        <v>0.0</v>
      </c>
      <c r="F49" s="7">
        <v>0.0</v>
      </c>
      <c r="G49" s="7">
        <v>0.0</v>
      </c>
      <c r="H49" s="7">
        <v>1.0</v>
      </c>
      <c r="I49" s="7">
        <v>0.0</v>
      </c>
      <c r="J49" s="7">
        <v>0.0</v>
      </c>
      <c r="K49" s="7">
        <v>1.0</v>
      </c>
      <c r="L49" s="7">
        <v>2.0</v>
      </c>
    </row>
    <row r="50" ht="15.75" customHeight="1">
      <c r="A50" s="6" t="s">
        <v>54</v>
      </c>
      <c r="B50" s="7">
        <v>38.0</v>
      </c>
      <c r="C50" s="7">
        <v>0.0</v>
      </c>
      <c r="D50" s="7">
        <v>0.0</v>
      </c>
      <c r="E50" s="7">
        <v>0.0</v>
      </c>
      <c r="F50" s="7">
        <v>0.0</v>
      </c>
      <c r="G50" s="7">
        <v>1.0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</row>
    <row r="51" ht="15.75" customHeight="1">
      <c r="A51" s="6" t="s">
        <v>131</v>
      </c>
      <c r="B51" s="7">
        <v>1.0</v>
      </c>
      <c r="C51" s="7">
        <v>0.0</v>
      </c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</row>
    <row r="52" ht="15.75" customHeight="1">
      <c r="A52" s="6" t="s">
        <v>55</v>
      </c>
      <c r="B52" s="7">
        <v>57.0</v>
      </c>
      <c r="C52" s="7">
        <v>0.0</v>
      </c>
      <c r="D52" s="7">
        <v>0.0</v>
      </c>
      <c r="E52" s="7">
        <v>2.0</v>
      </c>
      <c r="F52" s="7">
        <v>2.0</v>
      </c>
      <c r="G52" s="7">
        <v>0.0</v>
      </c>
      <c r="H52" s="7">
        <v>1.0</v>
      </c>
      <c r="I52" s="7">
        <v>1.0</v>
      </c>
      <c r="J52" s="7">
        <v>1.0</v>
      </c>
      <c r="K52" s="7">
        <v>0.0</v>
      </c>
      <c r="L52" s="7">
        <v>1.0</v>
      </c>
    </row>
    <row r="53" ht="15.75" customHeight="1">
      <c r="A53" s="6" t="s">
        <v>56</v>
      </c>
      <c r="B53" s="7">
        <v>3.0</v>
      </c>
      <c r="C53" s="7">
        <v>0.0</v>
      </c>
      <c r="D53" s="7">
        <v>0.0</v>
      </c>
      <c r="E53" s="7">
        <v>0.0</v>
      </c>
      <c r="F53" s="7">
        <v>1.0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</row>
    <row r="54" ht="15.75" customHeight="1">
      <c r="A54" s="6" t="s">
        <v>57</v>
      </c>
      <c r="B54" s="7">
        <v>174.0</v>
      </c>
      <c r="C54" s="7">
        <v>3.0</v>
      </c>
      <c r="D54" s="7">
        <v>6.0</v>
      </c>
      <c r="E54" s="7">
        <v>0.0</v>
      </c>
      <c r="F54" s="7">
        <v>1.0</v>
      </c>
      <c r="G54" s="7">
        <v>1.0</v>
      </c>
      <c r="H54" s="7">
        <v>1.0</v>
      </c>
      <c r="I54" s="7">
        <v>0.0</v>
      </c>
      <c r="J54" s="7">
        <v>8.0</v>
      </c>
      <c r="K54" s="7">
        <v>2.0</v>
      </c>
      <c r="L54" s="7">
        <v>1.0</v>
      </c>
    </row>
    <row r="55" ht="15.75" customHeight="1">
      <c r="A55" s="6" t="s">
        <v>58</v>
      </c>
      <c r="B55" s="7">
        <v>0.0</v>
      </c>
      <c r="C55" s="7">
        <v>0.0</v>
      </c>
      <c r="D55" s="7">
        <v>0.0</v>
      </c>
      <c r="E55" s="7">
        <v>0.0</v>
      </c>
      <c r="F55" s="7">
        <v>1.0</v>
      </c>
      <c r="G55" s="7">
        <v>0.0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</row>
    <row r="56" ht="15.75" customHeight="1">
      <c r="A56" s="6" t="s">
        <v>59</v>
      </c>
      <c r="B56" s="7">
        <v>1.0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</row>
    <row r="57" ht="15.75" customHeight="1">
      <c r="A57" s="6" t="s">
        <v>60</v>
      </c>
      <c r="B57" s="7">
        <v>9.0</v>
      </c>
      <c r="C57" s="7">
        <v>0.0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</row>
    <row r="58" ht="15.75" customHeight="1">
      <c r="A58" s="6" t="s">
        <v>61</v>
      </c>
      <c r="B58" s="7">
        <v>3.0</v>
      </c>
      <c r="C58" s="7">
        <v>0.0</v>
      </c>
      <c r="D58" s="7">
        <v>0.0</v>
      </c>
      <c r="E58" s="7">
        <v>0.0</v>
      </c>
      <c r="F58" s="7">
        <v>0.0</v>
      </c>
      <c r="G58" s="7">
        <v>1.0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</row>
    <row r="59" ht="15.75" customHeight="1">
      <c r="A59" s="6" t="s">
        <v>62</v>
      </c>
      <c r="B59" s="7">
        <v>1.0</v>
      </c>
      <c r="C59" s="7">
        <v>0.0</v>
      </c>
      <c r="D59" s="7">
        <v>0.0</v>
      </c>
      <c r="E59" s="7">
        <v>0.0</v>
      </c>
      <c r="F59" s="7">
        <v>0.0</v>
      </c>
      <c r="G59" s="7">
        <v>0.0</v>
      </c>
      <c r="H59" s="7">
        <v>0.0</v>
      </c>
      <c r="I59" s="7">
        <v>2.0</v>
      </c>
      <c r="J59" s="7">
        <v>2.0</v>
      </c>
      <c r="K59" s="7">
        <v>1.0</v>
      </c>
      <c r="L59" s="7">
        <v>1.0</v>
      </c>
    </row>
    <row r="60" ht="15.75" customHeight="1">
      <c r="A60" s="6" t="s">
        <v>63</v>
      </c>
      <c r="B60" s="7">
        <v>160.0</v>
      </c>
      <c r="C60" s="7">
        <v>0.0</v>
      </c>
      <c r="D60" s="7">
        <v>2.0</v>
      </c>
      <c r="E60" s="7">
        <v>1.0</v>
      </c>
      <c r="F60" s="7">
        <v>0.0</v>
      </c>
      <c r="G60" s="7">
        <v>1.0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</row>
    <row r="61" ht="15.75" customHeight="1">
      <c r="A61" s="6" t="s">
        <v>64</v>
      </c>
      <c r="B61" s="7">
        <v>3.0</v>
      </c>
      <c r="C61" s="7">
        <v>0.0</v>
      </c>
      <c r="D61" s="7">
        <v>0.0</v>
      </c>
      <c r="E61" s="7">
        <v>0.0</v>
      </c>
      <c r="F61" s="7">
        <v>0.0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</row>
    <row r="62" ht="15.75" customHeight="1">
      <c r="A62" s="6" t="s">
        <v>65</v>
      </c>
      <c r="B62" s="7">
        <v>82.0</v>
      </c>
      <c r="C62" s="7">
        <v>0.0</v>
      </c>
      <c r="D62" s="7">
        <v>0.0</v>
      </c>
      <c r="E62" s="7">
        <v>0.0</v>
      </c>
      <c r="F62" s="7">
        <v>2.0</v>
      </c>
      <c r="G62" s="7">
        <v>1.0</v>
      </c>
      <c r="H62" s="7">
        <v>0.0</v>
      </c>
      <c r="I62" s="7">
        <v>0.0</v>
      </c>
      <c r="J62" s="7">
        <v>1.0</v>
      </c>
      <c r="K62" s="7">
        <v>1.0</v>
      </c>
      <c r="L62" s="7">
        <v>0.0</v>
      </c>
    </row>
    <row r="63" ht="15.75" customHeight="1">
      <c r="A63" s="6" t="s">
        <v>66</v>
      </c>
      <c r="B63" s="7">
        <v>110.0</v>
      </c>
      <c r="C63" s="7">
        <v>1.0</v>
      </c>
      <c r="D63" s="7">
        <v>1.0</v>
      </c>
      <c r="E63" s="7">
        <v>2.0</v>
      </c>
      <c r="F63" s="7">
        <v>2.0</v>
      </c>
      <c r="G63" s="7">
        <v>4.0</v>
      </c>
      <c r="H63" s="7">
        <v>7.0</v>
      </c>
      <c r="I63" s="7">
        <v>6.0</v>
      </c>
      <c r="J63" s="7">
        <v>4.0</v>
      </c>
      <c r="K63" s="7">
        <v>2.0</v>
      </c>
      <c r="L63" s="7">
        <v>0.0</v>
      </c>
    </row>
    <row r="64" ht="15.75" customHeight="1">
      <c r="A64" s="6" t="s">
        <v>67</v>
      </c>
      <c r="B64" s="7">
        <v>27.0</v>
      </c>
      <c r="C64" s="7">
        <v>0.0</v>
      </c>
      <c r="D64" s="7">
        <v>3.0</v>
      </c>
      <c r="E64" s="7">
        <v>0.0</v>
      </c>
      <c r="F64" s="7">
        <v>0.0</v>
      </c>
      <c r="G64" s="7">
        <v>0.0</v>
      </c>
      <c r="H64" s="7">
        <v>0.0</v>
      </c>
      <c r="I64" s="7">
        <v>3.0</v>
      </c>
      <c r="J64" s="7">
        <v>0.0</v>
      </c>
      <c r="K64" s="7">
        <v>0.0</v>
      </c>
      <c r="L64" s="7">
        <v>0.0</v>
      </c>
    </row>
    <row r="65" ht="15.75" customHeight="1">
      <c r="A65" s="6" t="s">
        <v>68</v>
      </c>
      <c r="B65" s="7">
        <v>26.0</v>
      </c>
      <c r="C65" s="7">
        <v>1.0</v>
      </c>
      <c r="D65" s="7">
        <v>0.0</v>
      </c>
      <c r="E65" s="7">
        <v>1.0</v>
      </c>
      <c r="F65" s="7">
        <v>0.0</v>
      </c>
      <c r="G65" s="7">
        <v>1.0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</row>
    <row r="66" ht="15.75" customHeight="1">
      <c r="A66" s="6" t="s">
        <v>69</v>
      </c>
      <c r="B66" s="7">
        <v>1.0</v>
      </c>
      <c r="C66" s="7">
        <v>0.0</v>
      </c>
      <c r="D66" s="7">
        <v>0.0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</row>
    <row r="67" ht="15.75" customHeight="1">
      <c r="A67" s="6" t="s">
        <v>70</v>
      </c>
      <c r="B67" s="7">
        <v>4.0</v>
      </c>
      <c r="C67" s="7">
        <v>0.0</v>
      </c>
      <c r="D67" s="7">
        <v>0.0</v>
      </c>
      <c r="E67" s="7">
        <v>0.0</v>
      </c>
      <c r="F67" s="7">
        <v>0.0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</row>
    <row r="68" ht="15.75" customHeight="1">
      <c r="A68" s="6" t="s">
        <v>71</v>
      </c>
      <c r="B68" s="7">
        <v>9.0</v>
      </c>
      <c r="C68" s="7">
        <v>0.0</v>
      </c>
      <c r="D68" s="7">
        <v>0.0</v>
      </c>
      <c r="E68" s="7">
        <v>0.0</v>
      </c>
      <c r="F68" s="7">
        <v>0.0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</row>
    <row r="69" ht="15.75" customHeight="1">
      <c r="A69" s="6" t="s">
        <v>72</v>
      </c>
      <c r="B69" s="7">
        <v>2.0</v>
      </c>
      <c r="C69" s="7">
        <v>0.0</v>
      </c>
      <c r="D69" s="7">
        <v>0.0</v>
      </c>
      <c r="E69" s="7">
        <v>0.0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</row>
    <row r="70" ht="15.75" customHeight="1">
      <c r="A70" s="6" t="s">
        <v>73</v>
      </c>
      <c r="B70" s="7">
        <v>42.0</v>
      </c>
      <c r="C70" s="7">
        <v>0.0</v>
      </c>
      <c r="D70" s="7">
        <v>0.0</v>
      </c>
      <c r="E70" s="7">
        <v>0.0</v>
      </c>
      <c r="F70" s="7">
        <v>0.0</v>
      </c>
      <c r="G70" s="7">
        <v>0.0</v>
      </c>
      <c r="H70" s="7">
        <v>0.0</v>
      </c>
      <c r="I70" s="7">
        <v>13.0</v>
      </c>
      <c r="J70" s="7">
        <v>0.0</v>
      </c>
      <c r="K70" s="7">
        <v>0.0</v>
      </c>
      <c r="L70" s="7">
        <v>1.0</v>
      </c>
    </row>
    <row r="71" ht="15.75" customHeight="1">
      <c r="A71" s="6" t="s">
        <v>74</v>
      </c>
      <c r="B71" s="7">
        <v>12.0</v>
      </c>
      <c r="C71" s="7">
        <v>0.0</v>
      </c>
      <c r="D71" s="7">
        <v>0.0</v>
      </c>
      <c r="E71" s="7">
        <v>0.0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1.0</v>
      </c>
      <c r="L71" s="7">
        <v>0.0</v>
      </c>
    </row>
    <row r="72" ht="15.75" customHeight="1">
      <c r="A72" s="6" t="s">
        <v>75</v>
      </c>
      <c r="B72" s="7">
        <v>8.0</v>
      </c>
      <c r="C72" s="7">
        <v>0.0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</row>
    <row r="73" ht="15.75" customHeight="1">
      <c r="A73" s="6" t="s">
        <v>76</v>
      </c>
      <c r="B73" s="7">
        <v>19.0</v>
      </c>
      <c r="C73" s="7">
        <v>0.0</v>
      </c>
      <c r="D73" s="7">
        <v>0.0</v>
      </c>
      <c r="E73" s="7">
        <v>0.0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</row>
    <row r="74" ht="15.75" customHeight="1">
      <c r="A74" s="6" t="s">
        <v>77</v>
      </c>
      <c r="B74" s="7">
        <v>232.0</v>
      </c>
      <c r="C74" s="7">
        <v>2.0</v>
      </c>
      <c r="D74" s="7">
        <v>3.0</v>
      </c>
      <c r="E74" s="7">
        <v>2.0</v>
      </c>
      <c r="F74" s="7">
        <v>2.0</v>
      </c>
      <c r="G74" s="7">
        <v>7.0</v>
      </c>
      <c r="H74" s="7">
        <v>8.0</v>
      </c>
      <c r="I74" s="7">
        <v>9.0</v>
      </c>
      <c r="J74" s="7">
        <v>17.0</v>
      </c>
      <c r="K74" s="7">
        <v>6.0</v>
      </c>
      <c r="L74" s="7">
        <v>0.0</v>
      </c>
    </row>
    <row r="75" ht="15.75" customHeight="1">
      <c r="A75" s="6" t="s">
        <v>78</v>
      </c>
      <c r="B75" s="7">
        <v>27.0</v>
      </c>
      <c r="C75" s="7">
        <v>0.0</v>
      </c>
      <c r="D75" s="7">
        <v>0.0</v>
      </c>
      <c r="E75" s="7">
        <v>0.0</v>
      </c>
      <c r="F75" s="7">
        <v>0.0</v>
      </c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0.0</v>
      </c>
    </row>
    <row r="76" ht="15.75" customHeight="1">
      <c r="A76" s="6" t="s">
        <v>79</v>
      </c>
      <c r="B76" s="7">
        <v>1.0</v>
      </c>
      <c r="C76" s="7">
        <v>1.0</v>
      </c>
      <c r="D76" s="7">
        <v>0.0</v>
      </c>
      <c r="E76" s="7">
        <v>0.0</v>
      </c>
      <c r="F76" s="7">
        <v>0.0</v>
      </c>
      <c r="G76" s="7">
        <v>0.0</v>
      </c>
      <c r="H76" s="7">
        <v>0.0</v>
      </c>
      <c r="I76" s="7">
        <v>0.0</v>
      </c>
      <c r="J76" s="7">
        <v>0.0</v>
      </c>
      <c r="K76" s="7">
        <v>0.0</v>
      </c>
      <c r="L76" s="7">
        <v>0.0</v>
      </c>
    </row>
    <row r="77" ht="15.75" customHeight="1">
      <c r="A77" s="6" t="s">
        <v>80</v>
      </c>
      <c r="B77" s="7">
        <v>1.0</v>
      </c>
      <c r="C77" s="7">
        <v>0.0</v>
      </c>
      <c r="D77" s="7">
        <v>0.0</v>
      </c>
      <c r="E77" s="7">
        <v>0.0</v>
      </c>
      <c r="F77" s="7">
        <v>1.0</v>
      </c>
      <c r="G77" s="7">
        <v>1.0</v>
      </c>
      <c r="H77" s="7">
        <v>0.0</v>
      </c>
      <c r="I77" s="7">
        <v>1.0</v>
      </c>
      <c r="J77" s="7">
        <v>0.0</v>
      </c>
      <c r="K77" s="7">
        <v>0.0</v>
      </c>
      <c r="L77" s="7">
        <v>0.0</v>
      </c>
    </row>
    <row r="78" ht="15.75" customHeight="1">
      <c r="A78" s="6" t="s">
        <v>127</v>
      </c>
      <c r="B78" s="7">
        <v>4.0</v>
      </c>
      <c r="C78" s="7">
        <v>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</row>
    <row r="79" ht="15.75" customHeight="1">
      <c r="A79" s="6" t="s">
        <v>81</v>
      </c>
      <c r="B79" s="7">
        <v>1.0</v>
      </c>
      <c r="C79" s="7">
        <v>0.0</v>
      </c>
      <c r="D79" s="7">
        <v>0.0</v>
      </c>
      <c r="E79" s="7">
        <v>0.0</v>
      </c>
      <c r="F79" s="7">
        <v>0.0</v>
      </c>
      <c r="G79" s="7">
        <v>0.0</v>
      </c>
      <c r="H79" s="7">
        <v>0.0</v>
      </c>
      <c r="I79" s="7">
        <v>0.0</v>
      </c>
      <c r="J79" s="7">
        <v>0.0</v>
      </c>
      <c r="K79" s="7">
        <v>0.0</v>
      </c>
      <c r="L79" s="7">
        <v>0.0</v>
      </c>
    </row>
    <row r="80" ht="15.75" customHeight="1">
      <c r="A80" s="6" t="s">
        <v>82</v>
      </c>
      <c r="B80" s="7">
        <v>0.0</v>
      </c>
      <c r="C80" s="7">
        <v>0.0</v>
      </c>
      <c r="D80" s="7">
        <v>0.0</v>
      </c>
      <c r="E80" s="7">
        <v>0.0</v>
      </c>
      <c r="F80" s="7">
        <v>0.0</v>
      </c>
      <c r="G80" s="7">
        <v>2.0</v>
      </c>
      <c r="H80" s="7">
        <v>2.0</v>
      </c>
      <c r="I80" s="7">
        <v>1.0</v>
      </c>
      <c r="J80" s="7">
        <v>0.0</v>
      </c>
      <c r="K80" s="7">
        <v>0.0</v>
      </c>
      <c r="L80" s="7">
        <v>0.0</v>
      </c>
    </row>
    <row r="81" ht="15.75" customHeight="1">
      <c r="A81" s="6" t="s">
        <v>83</v>
      </c>
      <c r="B81" s="7">
        <v>8.0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1.0</v>
      </c>
      <c r="I81" s="7">
        <v>0.0</v>
      </c>
      <c r="J81" s="7">
        <v>0.0</v>
      </c>
      <c r="K81" s="7">
        <v>0.0</v>
      </c>
      <c r="L81" s="7">
        <v>0.0</v>
      </c>
    </row>
    <row r="82" ht="15.75" customHeight="1">
      <c r="A82" s="6" t="s">
        <v>84</v>
      </c>
      <c r="B82" s="7">
        <v>20.0</v>
      </c>
      <c r="C82" s="7">
        <v>0.0</v>
      </c>
      <c r="D82" s="7">
        <v>0.0</v>
      </c>
      <c r="E82" s="7">
        <v>0.0</v>
      </c>
      <c r="F82" s="7">
        <v>0.0</v>
      </c>
      <c r="G82" s="7">
        <v>0.0</v>
      </c>
      <c r="H82" s="7">
        <v>0.0</v>
      </c>
      <c r="I82" s="7">
        <v>0.0</v>
      </c>
      <c r="J82" s="7">
        <v>0.0</v>
      </c>
      <c r="K82" s="7">
        <v>0.0</v>
      </c>
      <c r="L82" s="7">
        <v>0.0</v>
      </c>
    </row>
    <row r="83" ht="15.75" customHeight="1">
      <c r="A83" s="6" t="s">
        <v>85</v>
      </c>
      <c r="B83" s="7">
        <v>30.0</v>
      </c>
      <c r="C83" s="7">
        <v>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</row>
    <row r="84" ht="15.75" customHeight="1">
      <c r="A84" s="6" t="s">
        <v>86</v>
      </c>
      <c r="B84" s="7">
        <v>2.0</v>
      </c>
      <c r="C84" s="7">
        <v>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</row>
    <row r="85" ht="15.75" customHeight="1">
      <c r="A85" s="6" t="s">
        <v>87</v>
      </c>
      <c r="B85" s="7">
        <v>28.0</v>
      </c>
      <c r="C85" s="7">
        <v>0.0</v>
      </c>
      <c r="D85" s="7">
        <v>1.0</v>
      </c>
      <c r="E85" s="7">
        <v>0.0</v>
      </c>
      <c r="F85" s="7">
        <v>2.0</v>
      </c>
      <c r="G85" s="7">
        <v>1.0</v>
      </c>
      <c r="H85" s="7">
        <v>0.0</v>
      </c>
      <c r="I85" s="7">
        <v>1.0</v>
      </c>
      <c r="J85" s="7">
        <v>1.0</v>
      </c>
      <c r="K85" s="7">
        <v>0.0</v>
      </c>
      <c r="L85" s="7">
        <v>0.0</v>
      </c>
    </row>
    <row r="86" ht="15.75" customHeight="1">
      <c r="A86" s="6" t="s">
        <v>88</v>
      </c>
      <c r="B86" s="7">
        <v>3.0</v>
      </c>
      <c r="C86" s="7">
        <v>0.0</v>
      </c>
      <c r="D86" s="7">
        <v>0.0</v>
      </c>
      <c r="E86" s="7">
        <v>0.0</v>
      </c>
      <c r="F86" s="7">
        <v>0.0</v>
      </c>
      <c r="G86" s="7">
        <v>0.0</v>
      </c>
      <c r="H86" s="7">
        <v>0.0</v>
      </c>
      <c r="I86" s="7">
        <v>0.0</v>
      </c>
      <c r="J86" s="7">
        <v>0.0</v>
      </c>
      <c r="K86" s="7">
        <v>0.0</v>
      </c>
      <c r="L86" s="7">
        <v>0.0</v>
      </c>
    </row>
    <row r="87" ht="15.75" customHeight="1">
      <c r="A87" s="6" t="s">
        <v>89</v>
      </c>
      <c r="B87" s="7">
        <v>12.0</v>
      </c>
      <c r="C87" s="7">
        <v>0.0</v>
      </c>
      <c r="D87" s="7">
        <v>0.0</v>
      </c>
      <c r="E87" s="7">
        <v>0.0</v>
      </c>
      <c r="F87" s="7">
        <v>0.0</v>
      </c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0.0</v>
      </c>
    </row>
    <row r="88" ht="15.75" customHeight="1">
      <c r="A88" s="6" t="s">
        <v>90</v>
      </c>
      <c r="B88" s="7">
        <v>2.0</v>
      </c>
      <c r="C88" s="7">
        <v>0.0</v>
      </c>
      <c r="D88" s="7">
        <v>0.0</v>
      </c>
      <c r="E88" s="7">
        <v>0.0</v>
      </c>
      <c r="F88" s="7">
        <v>0.0</v>
      </c>
      <c r="G88" s="7">
        <v>3.0</v>
      </c>
      <c r="H88" s="7">
        <v>1.0</v>
      </c>
      <c r="I88" s="7">
        <v>2.0</v>
      </c>
      <c r="J88" s="7">
        <v>1.0</v>
      </c>
      <c r="K88" s="7">
        <v>0.0</v>
      </c>
      <c r="L88" s="7">
        <v>1.0</v>
      </c>
    </row>
    <row r="89" ht="15.75" customHeight="1">
      <c r="A89" s="6" t="s">
        <v>129</v>
      </c>
      <c r="B89" s="7">
        <v>2.0</v>
      </c>
      <c r="C89" s="7">
        <v>0.0</v>
      </c>
      <c r="D89" s="7">
        <v>0.0</v>
      </c>
      <c r="E89" s="7">
        <v>0.0</v>
      </c>
      <c r="F89" s="7">
        <v>0.0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</row>
    <row r="90" ht="15.75" customHeight="1">
      <c r="A90" s="6" t="s">
        <v>92</v>
      </c>
      <c r="B90" s="7">
        <v>38.0</v>
      </c>
      <c r="C90" s="7">
        <v>0.0</v>
      </c>
      <c r="D90" s="7">
        <v>0.0</v>
      </c>
      <c r="E90" s="7">
        <v>1.0</v>
      </c>
      <c r="F90" s="7">
        <v>1.0</v>
      </c>
      <c r="G90" s="7">
        <v>1.0</v>
      </c>
      <c r="H90" s="7">
        <v>0.0</v>
      </c>
      <c r="I90" s="7">
        <v>1.0</v>
      </c>
      <c r="J90" s="7">
        <v>0.0</v>
      </c>
      <c r="K90" s="7">
        <v>0.0</v>
      </c>
      <c r="L90" s="7">
        <v>0.0</v>
      </c>
    </row>
    <row r="91" ht="15.75" customHeight="1">
      <c r="A91" s="6" t="s">
        <v>93</v>
      </c>
      <c r="B91" s="7">
        <v>292.0</v>
      </c>
      <c r="C91" s="7">
        <v>1.0</v>
      </c>
      <c r="D91" s="7">
        <v>2.0</v>
      </c>
      <c r="E91" s="7">
        <v>3.0</v>
      </c>
      <c r="F91" s="7">
        <v>3.0</v>
      </c>
      <c r="G91" s="7">
        <v>1.0</v>
      </c>
      <c r="H91" s="7">
        <v>0.0</v>
      </c>
      <c r="I91" s="7">
        <v>0.0</v>
      </c>
      <c r="J91" s="7">
        <v>1.0</v>
      </c>
      <c r="K91" s="7">
        <v>0.0</v>
      </c>
      <c r="L91" s="7">
        <v>0.0</v>
      </c>
    </row>
    <row r="92" ht="15.75" customHeight="1">
      <c r="A92" s="6" t="s">
        <v>94</v>
      </c>
      <c r="B92" s="7">
        <v>968.0</v>
      </c>
      <c r="C92" s="7">
        <v>4.0</v>
      </c>
      <c r="D92" s="7">
        <v>7.0</v>
      </c>
      <c r="E92" s="7">
        <v>4.0</v>
      </c>
      <c r="F92" s="7">
        <v>3.0</v>
      </c>
      <c r="G92" s="7">
        <v>2.0</v>
      </c>
      <c r="H92" s="7">
        <v>2.0</v>
      </c>
      <c r="I92" s="7">
        <v>1.0</v>
      </c>
      <c r="J92" s="7">
        <v>3.0</v>
      </c>
      <c r="K92" s="7">
        <v>1.0</v>
      </c>
      <c r="L92" s="7">
        <v>4.0</v>
      </c>
    </row>
    <row r="93" ht="15.75" customHeight="1">
      <c r="A93" s="6" t="s">
        <v>95</v>
      </c>
      <c r="B93" s="7">
        <v>8.0</v>
      </c>
      <c r="C93" s="7">
        <v>0.0</v>
      </c>
      <c r="D93" s="7">
        <v>0.0</v>
      </c>
      <c r="E93" s="7">
        <v>0.0</v>
      </c>
      <c r="F93" s="7">
        <v>0.0</v>
      </c>
      <c r="G93" s="7">
        <v>1.0</v>
      </c>
      <c r="H93" s="7">
        <v>0.0</v>
      </c>
      <c r="I93" s="7">
        <v>1.0</v>
      </c>
      <c r="J93" s="7">
        <v>0.0</v>
      </c>
      <c r="K93" s="7">
        <v>0.0</v>
      </c>
      <c r="L93" s="7">
        <v>0.0</v>
      </c>
    </row>
    <row r="94" ht="15.75" customHeight="1">
      <c r="A94" s="6" t="s">
        <v>96</v>
      </c>
      <c r="B94" s="7">
        <v>124.0</v>
      </c>
      <c r="C94" s="7">
        <v>0.0</v>
      </c>
      <c r="D94" s="7">
        <v>0.0</v>
      </c>
      <c r="E94" s="7">
        <v>0.0</v>
      </c>
      <c r="F94" s="7">
        <v>0.0</v>
      </c>
      <c r="G94" s="7">
        <v>0.0</v>
      </c>
      <c r="H94" s="7">
        <v>0.0</v>
      </c>
      <c r="I94" s="7">
        <v>0.0</v>
      </c>
      <c r="J94" s="7">
        <v>1.0</v>
      </c>
      <c r="K94" s="7">
        <v>0.0</v>
      </c>
      <c r="L94" s="7">
        <v>0.0</v>
      </c>
    </row>
    <row r="95" ht="15.75" customHeight="1">
      <c r="A95" s="6" t="s">
        <v>97</v>
      </c>
      <c r="B95" s="7">
        <v>20.0</v>
      </c>
      <c r="C95" s="7">
        <v>1.0</v>
      </c>
      <c r="D95" s="7">
        <v>0.0</v>
      </c>
      <c r="E95" s="7">
        <v>0.0</v>
      </c>
      <c r="F95" s="7">
        <v>1.0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</row>
    <row r="96" ht="15.75" customHeight="1">
      <c r="A96" s="6" t="s">
        <v>132</v>
      </c>
      <c r="B96" s="7">
        <v>1.0</v>
      </c>
      <c r="C96" s="7">
        <v>0.0</v>
      </c>
      <c r="D96" s="7">
        <v>0.0</v>
      </c>
      <c r="E96" s="7">
        <v>0.0</v>
      </c>
      <c r="F96" s="7">
        <v>0.0</v>
      </c>
      <c r="G96" s="7">
        <v>0.0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</row>
    <row r="97" ht="15.75" customHeight="1">
      <c r="A97" s="6" t="s">
        <v>98</v>
      </c>
      <c r="B97" s="7">
        <v>0.0</v>
      </c>
      <c r="C97" s="7">
        <v>0.0</v>
      </c>
      <c r="D97" s="7">
        <v>0.0</v>
      </c>
      <c r="E97" s="7">
        <v>0.0</v>
      </c>
      <c r="F97" s="7">
        <v>0.0</v>
      </c>
      <c r="G97" s="7">
        <v>0.0</v>
      </c>
      <c r="H97" s="7">
        <v>0.0</v>
      </c>
      <c r="I97" s="7">
        <v>0.0</v>
      </c>
      <c r="J97" s="7">
        <v>1.0</v>
      </c>
      <c r="K97" s="7">
        <v>0.0</v>
      </c>
      <c r="L97" s="7">
        <v>0.0</v>
      </c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 t="s">
        <v>10</v>
      </c>
      <c r="B99" s="7">
        <f t="shared" ref="B99:L99" si="1">SUM(B3:B97)</f>
        <v>4762</v>
      </c>
      <c r="C99" s="7">
        <f t="shared" si="1"/>
        <v>32</v>
      </c>
      <c r="D99" s="7">
        <f t="shared" si="1"/>
        <v>47</v>
      </c>
      <c r="E99" s="7">
        <f t="shared" si="1"/>
        <v>32</v>
      </c>
      <c r="F99" s="7">
        <f t="shared" si="1"/>
        <v>48</v>
      </c>
      <c r="G99" s="7">
        <f t="shared" si="1"/>
        <v>46</v>
      </c>
      <c r="H99" s="7">
        <f t="shared" si="1"/>
        <v>41</v>
      </c>
      <c r="I99" s="7">
        <f t="shared" si="1"/>
        <v>70</v>
      </c>
      <c r="J99" s="7">
        <f t="shared" si="1"/>
        <v>72</v>
      </c>
      <c r="K99" s="7">
        <f t="shared" si="1"/>
        <v>44</v>
      </c>
      <c r="L99" s="7">
        <f t="shared" si="1"/>
        <v>18</v>
      </c>
    </row>
    <row r="100" ht="15.75" customHeight="1">
      <c r="A100" s="18" t="s">
        <v>171</v>
      </c>
    </row>
  </sheetData>
  <mergeCells count="4">
    <mergeCell ref="A1:L1"/>
    <mergeCell ref="A2:L2"/>
    <mergeCell ref="A3:L3"/>
    <mergeCell ref="A100:L100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159</v>
      </c>
    </row>
    <row r="2">
      <c r="A2" s="2" t="s">
        <v>1</v>
      </c>
    </row>
    <row r="3">
      <c r="A3" s="46" t="s">
        <v>2</v>
      </c>
    </row>
    <row r="4">
      <c r="A4" s="5" t="s">
        <v>102</v>
      </c>
      <c r="B4" s="23" t="s">
        <v>160</v>
      </c>
      <c r="C4" s="47">
        <v>2016.0</v>
      </c>
      <c r="D4" s="47">
        <v>2017.0</v>
      </c>
      <c r="E4" s="47">
        <v>2018.0</v>
      </c>
      <c r="F4" s="47">
        <v>2019.0</v>
      </c>
      <c r="G4" s="47">
        <v>2020.0</v>
      </c>
      <c r="H4" s="47">
        <v>2021.0</v>
      </c>
      <c r="I4" s="47">
        <v>2022.0</v>
      </c>
      <c r="J4" s="47">
        <v>2023.0</v>
      </c>
      <c r="K4" s="47">
        <v>2024.0</v>
      </c>
      <c r="L4" s="47">
        <v>2025.0</v>
      </c>
    </row>
    <row r="5">
      <c r="A5" s="6" t="s">
        <v>116</v>
      </c>
      <c r="B5" s="32">
        <v>67.0</v>
      </c>
      <c r="C5" s="32">
        <v>0.0</v>
      </c>
      <c r="D5" s="32">
        <v>0.0</v>
      </c>
      <c r="E5" s="32">
        <v>1.0</v>
      </c>
      <c r="F5" s="32">
        <v>1.0</v>
      </c>
      <c r="G5" s="32">
        <v>2.0</v>
      </c>
      <c r="H5" s="32">
        <v>1.0</v>
      </c>
      <c r="I5" s="32">
        <v>1.0</v>
      </c>
      <c r="J5" s="32">
        <v>6.0</v>
      </c>
      <c r="K5" s="32">
        <v>4.0</v>
      </c>
      <c r="L5" s="32">
        <v>0.0</v>
      </c>
    </row>
    <row r="6">
      <c r="A6" s="6" t="s">
        <v>117</v>
      </c>
      <c r="B6" s="32">
        <v>4.0</v>
      </c>
      <c r="C6" s="32">
        <v>0.0</v>
      </c>
      <c r="D6" s="32">
        <v>0.0</v>
      </c>
      <c r="E6" s="32">
        <v>0.0</v>
      </c>
      <c r="F6" s="32">
        <v>0.0</v>
      </c>
      <c r="G6" s="32">
        <v>0.0</v>
      </c>
      <c r="H6" s="32">
        <v>0.0</v>
      </c>
      <c r="I6" s="32">
        <v>0.0</v>
      </c>
      <c r="J6" s="32">
        <v>0.0</v>
      </c>
      <c r="K6" s="32">
        <v>0.0</v>
      </c>
      <c r="L6" s="32">
        <v>0.0</v>
      </c>
    </row>
    <row r="7">
      <c r="A7" s="6" t="s">
        <v>113</v>
      </c>
      <c r="B7" s="32">
        <v>57.0</v>
      </c>
      <c r="C7" s="32">
        <v>0.0</v>
      </c>
      <c r="D7" s="32">
        <v>0.0</v>
      </c>
      <c r="E7" s="32">
        <v>0.0</v>
      </c>
      <c r="F7" s="32">
        <v>0.0</v>
      </c>
      <c r="G7" s="32">
        <v>1.0</v>
      </c>
      <c r="H7" s="32">
        <v>1.0</v>
      </c>
      <c r="I7" s="32">
        <v>1.0</v>
      </c>
      <c r="J7" s="32">
        <v>0.0</v>
      </c>
      <c r="K7" s="32">
        <v>1.0</v>
      </c>
      <c r="L7" s="32">
        <v>0.0</v>
      </c>
    </row>
    <row r="8">
      <c r="A8" s="6" t="s">
        <v>112</v>
      </c>
      <c r="B8" s="32">
        <v>181.0</v>
      </c>
      <c r="C8" s="32">
        <v>2.0</v>
      </c>
      <c r="D8" s="32">
        <v>5.0</v>
      </c>
      <c r="E8" s="32">
        <v>1.0</v>
      </c>
      <c r="F8" s="32">
        <v>7.0</v>
      </c>
      <c r="G8" s="32">
        <v>3.0</v>
      </c>
      <c r="H8" s="32">
        <v>4.0</v>
      </c>
      <c r="I8" s="32">
        <v>5.0</v>
      </c>
      <c r="J8" s="32">
        <v>6.0</v>
      </c>
      <c r="K8" s="32">
        <v>5.0</v>
      </c>
      <c r="L8" s="32">
        <v>2.0</v>
      </c>
    </row>
    <row r="9">
      <c r="A9" s="6" t="s">
        <v>109</v>
      </c>
      <c r="B9" s="32">
        <v>174.0</v>
      </c>
      <c r="C9" s="32">
        <v>2.0</v>
      </c>
      <c r="D9" s="32">
        <v>1.0</v>
      </c>
      <c r="E9" s="32">
        <v>5.0</v>
      </c>
      <c r="F9" s="32">
        <v>4.0</v>
      </c>
      <c r="G9" s="32">
        <v>1.0</v>
      </c>
      <c r="H9" s="32">
        <v>3.0</v>
      </c>
      <c r="I9" s="32">
        <v>3.0</v>
      </c>
      <c r="J9" s="32">
        <v>4.0</v>
      </c>
      <c r="K9" s="32">
        <v>3.0</v>
      </c>
      <c r="L9" s="32">
        <v>2.0</v>
      </c>
    </row>
    <row r="10">
      <c r="A10" s="6" t="s">
        <v>111</v>
      </c>
      <c r="B10" s="32">
        <v>151.0</v>
      </c>
      <c r="C10" s="32">
        <v>2.0</v>
      </c>
      <c r="D10" s="32">
        <v>1.0</v>
      </c>
      <c r="E10" s="32">
        <v>1.0</v>
      </c>
      <c r="F10" s="32">
        <v>2.0</v>
      </c>
      <c r="G10" s="32">
        <v>1.0</v>
      </c>
      <c r="H10" s="32">
        <v>0.0</v>
      </c>
      <c r="I10" s="32">
        <v>0.0</v>
      </c>
      <c r="J10" s="32">
        <v>1.0</v>
      </c>
      <c r="K10" s="32">
        <v>0.0</v>
      </c>
      <c r="L10" s="32">
        <v>0.0</v>
      </c>
    </row>
    <row r="11">
      <c r="A11" s="6" t="s">
        <v>110</v>
      </c>
      <c r="B11" s="32">
        <v>214.0</v>
      </c>
      <c r="C11" s="32">
        <v>0.0</v>
      </c>
      <c r="D11" s="32">
        <v>2.0</v>
      </c>
      <c r="E11" s="32">
        <v>1.0</v>
      </c>
      <c r="F11" s="32">
        <v>0.0</v>
      </c>
      <c r="G11" s="32">
        <v>1.0</v>
      </c>
      <c r="H11" s="32">
        <v>0.0</v>
      </c>
      <c r="I11" s="32">
        <v>0.0</v>
      </c>
      <c r="J11" s="32">
        <v>1.0</v>
      </c>
      <c r="K11" s="32">
        <v>1.0</v>
      </c>
      <c r="L11" s="32">
        <v>0.0</v>
      </c>
    </row>
    <row r="12">
      <c r="A12" s="6" t="s">
        <v>106</v>
      </c>
      <c r="B12" s="32">
        <v>294.0</v>
      </c>
      <c r="C12" s="32">
        <v>2.0</v>
      </c>
      <c r="D12" s="32">
        <v>3.0</v>
      </c>
      <c r="E12" s="32">
        <v>2.0</v>
      </c>
      <c r="F12" s="32">
        <v>3.0</v>
      </c>
      <c r="G12" s="32">
        <v>7.0</v>
      </c>
      <c r="H12" s="32">
        <v>8.0</v>
      </c>
      <c r="I12" s="32">
        <v>22.0</v>
      </c>
      <c r="J12" s="32">
        <v>17.0</v>
      </c>
      <c r="K12" s="32">
        <v>6.0</v>
      </c>
      <c r="L12" s="32">
        <v>1.0</v>
      </c>
    </row>
    <row r="13">
      <c r="A13" s="6" t="s">
        <v>107</v>
      </c>
      <c r="B13" s="32">
        <v>208.0</v>
      </c>
      <c r="C13" s="32">
        <v>1.0</v>
      </c>
      <c r="D13" s="32">
        <v>3.0</v>
      </c>
      <c r="E13" s="32">
        <v>4.0</v>
      </c>
      <c r="F13" s="32">
        <v>3.0</v>
      </c>
      <c r="G13" s="32">
        <v>4.0</v>
      </c>
      <c r="H13" s="32">
        <v>3.0</v>
      </c>
      <c r="I13" s="32">
        <v>12.0</v>
      </c>
      <c r="J13" s="32">
        <v>1.0</v>
      </c>
      <c r="K13" s="32">
        <v>3.0</v>
      </c>
      <c r="L13" s="32">
        <v>3.0</v>
      </c>
    </row>
    <row r="14">
      <c r="A14" s="6" t="s">
        <v>105</v>
      </c>
      <c r="B14" s="32">
        <v>426.0</v>
      </c>
      <c r="C14" s="32">
        <v>5.0</v>
      </c>
      <c r="D14" s="32">
        <v>6.0</v>
      </c>
      <c r="E14" s="32">
        <v>5.0</v>
      </c>
      <c r="F14" s="32">
        <v>7.0</v>
      </c>
      <c r="G14" s="32">
        <v>6.0</v>
      </c>
      <c r="H14" s="32">
        <v>7.0</v>
      </c>
      <c r="I14" s="32">
        <v>6.0</v>
      </c>
      <c r="J14" s="32">
        <v>9.0</v>
      </c>
      <c r="K14" s="32">
        <v>2.0</v>
      </c>
      <c r="L14" s="32">
        <v>0.0</v>
      </c>
    </row>
    <row r="15">
      <c r="A15" s="6" t="s">
        <v>108</v>
      </c>
      <c r="B15" s="32">
        <v>35.0</v>
      </c>
      <c r="C15" s="32">
        <v>0.0</v>
      </c>
      <c r="D15" s="32">
        <v>0.0</v>
      </c>
      <c r="E15" s="32">
        <v>0.0</v>
      </c>
      <c r="F15" s="32">
        <v>0.0</v>
      </c>
      <c r="G15" s="32">
        <v>0.0</v>
      </c>
      <c r="H15" s="32">
        <v>0.0</v>
      </c>
      <c r="I15" s="32">
        <v>0.0</v>
      </c>
      <c r="J15" s="32">
        <v>0.0</v>
      </c>
      <c r="K15" s="32">
        <v>0.0</v>
      </c>
      <c r="L15" s="32">
        <v>0.0</v>
      </c>
    </row>
    <row r="16">
      <c r="A16" s="6" t="s">
        <v>103</v>
      </c>
      <c r="B16" s="32">
        <v>1904.0</v>
      </c>
      <c r="C16" s="32">
        <v>7.0</v>
      </c>
      <c r="D16" s="32">
        <v>12.0</v>
      </c>
      <c r="E16" s="32">
        <v>5.0</v>
      </c>
      <c r="F16" s="32">
        <v>3.0</v>
      </c>
      <c r="G16" s="32">
        <v>4.0</v>
      </c>
      <c r="H16" s="32">
        <v>2.0</v>
      </c>
      <c r="I16" s="32">
        <v>1.0</v>
      </c>
      <c r="J16" s="32">
        <v>4.0</v>
      </c>
      <c r="K16" s="32">
        <v>10.0</v>
      </c>
      <c r="L16" s="32">
        <v>4.0</v>
      </c>
    </row>
    <row r="17">
      <c r="A17" s="6" t="s">
        <v>104</v>
      </c>
      <c r="B17" s="32">
        <v>712.0</v>
      </c>
      <c r="C17" s="32">
        <v>7.0</v>
      </c>
      <c r="D17" s="32">
        <v>13.0</v>
      </c>
      <c r="E17" s="32">
        <v>5.0</v>
      </c>
      <c r="F17" s="32">
        <v>9.0</v>
      </c>
      <c r="G17" s="32">
        <v>10.0</v>
      </c>
      <c r="H17" s="32">
        <v>7.0</v>
      </c>
      <c r="I17" s="32">
        <v>12.0</v>
      </c>
      <c r="J17" s="32">
        <v>18.0</v>
      </c>
      <c r="K17" s="32">
        <v>6.0</v>
      </c>
      <c r="L17" s="32">
        <v>2.0</v>
      </c>
    </row>
    <row r="18">
      <c r="A18" s="6" t="s">
        <v>114</v>
      </c>
      <c r="B18" s="32">
        <v>135.0</v>
      </c>
      <c r="C18" s="32">
        <v>3.0</v>
      </c>
      <c r="D18" s="32">
        <v>0.0</v>
      </c>
      <c r="E18" s="32">
        <v>1.0</v>
      </c>
      <c r="F18" s="32">
        <v>2.0</v>
      </c>
      <c r="G18" s="32">
        <v>4.0</v>
      </c>
      <c r="H18" s="32">
        <v>1.0</v>
      </c>
      <c r="I18" s="32">
        <v>3.0</v>
      </c>
      <c r="J18" s="32">
        <v>1.0</v>
      </c>
      <c r="K18" s="32">
        <v>0.0</v>
      </c>
      <c r="L18" s="32">
        <v>1.0</v>
      </c>
    </row>
    <row r="19">
      <c r="A19" s="6" t="s">
        <v>115</v>
      </c>
      <c r="B19" s="32">
        <v>200.0</v>
      </c>
      <c r="C19" s="32">
        <v>1.0</v>
      </c>
      <c r="D19" s="32">
        <v>1.0</v>
      </c>
      <c r="E19" s="32">
        <v>1.0</v>
      </c>
      <c r="F19" s="32">
        <v>7.0</v>
      </c>
      <c r="G19" s="32">
        <v>2.0</v>
      </c>
      <c r="H19" s="32">
        <v>4.0</v>
      </c>
      <c r="I19" s="32">
        <v>4.0</v>
      </c>
      <c r="J19" s="32">
        <v>4.0</v>
      </c>
      <c r="K19" s="32">
        <v>3.0</v>
      </c>
      <c r="L19" s="32">
        <v>3.0</v>
      </c>
    </row>
    <row r="20">
      <c r="A20" s="48" t="s">
        <v>118</v>
      </c>
      <c r="B20" s="48" t="s">
        <v>160</v>
      </c>
      <c r="C20" s="49">
        <v>2016.0</v>
      </c>
      <c r="D20" s="49">
        <v>2017.0</v>
      </c>
      <c r="E20" s="49">
        <v>2018.0</v>
      </c>
      <c r="F20" s="49">
        <v>2019.0</v>
      </c>
      <c r="G20" s="49">
        <v>2020.0</v>
      </c>
      <c r="H20" s="49">
        <v>2021.0</v>
      </c>
      <c r="I20" s="49">
        <v>2022.0</v>
      </c>
      <c r="J20" s="49">
        <v>2023.0</v>
      </c>
      <c r="K20" s="49">
        <v>2024.0</v>
      </c>
      <c r="L20" s="49">
        <v>2025.0</v>
      </c>
    </row>
    <row r="21">
      <c r="A21" s="6" t="s">
        <v>122</v>
      </c>
      <c r="B21" s="32">
        <f t="shared" ref="B21:L21" si="1">sum(B18:B19)</f>
        <v>335</v>
      </c>
      <c r="C21" s="32">
        <f t="shared" si="1"/>
        <v>4</v>
      </c>
      <c r="D21" s="32">
        <f t="shared" si="1"/>
        <v>1</v>
      </c>
      <c r="E21" s="32">
        <f t="shared" si="1"/>
        <v>2</v>
      </c>
      <c r="F21" s="32">
        <f t="shared" si="1"/>
        <v>9</v>
      </c>
      <c r="G21" s="32">
        <f t="shared" si="1"/>
        <v>6</v>
      </c>
      <c r="H21" s="32">
        <f t="shared" si="1"/>
        <v>5</v>
      </c>
      <c r="I21" s="32">
        <f t="shared" si="1"/>
        <v>7</v>
      </c>
      <c r="J21" s="32">
        <f t="shared" si="1"/>
        <v>5</v>
      </c>
      <c r="K21" s="32">
        <f t="shared" si="1"/>
        <v>3</v>
      </c>
      <c r="L21" s="32">
        <f t="shared" si="1"/>
        <v>4</v>
      </c>
    </row>
    <row r="22">
      <c r="A22" s="6" t="s">
        <v>119</v>
      </c>
      <c r="B22" s="32">
        <f t="shared" ref="B22:L22" si="2">sum(B16:B17)</f>
        <v>2616</v>
      </c>
      <c r="C22" s="32">
        <f t="shared" si="2"/>
        <v>14</v>
      </c>
      <c r="D22" s="32">
        <f t="shared" si="2"/>
        <v>25</v>
      </c>
      <c r="E22" s="32">
        <f t="shared" si="2"/>
        <v>10</v>
      </c>
      <c r="F22" s="32">
        <f t="shared" si="2"/>
        <v>12</v>
      </c>
      <c r="G22" s="32">
        <f t="shared" si="2"/>
        <v>14</v>
      </c>
      <c r="H22" s="32">
        <f t="shared" si="2"/>
        <v>9</v>
      </c>
      <c r="I22" s="32">
        <f t="shared" si="2"/>
        <v>13</v>
      </c>
      <c r="J22" s="32">
        <f t="shared" si="2"/>
        <v>22</v>
      </c>
      <c r="K22" s="32">
        <f t="shared" si="2"/>
        <v>16</v>
      </c>
      <c r="L22" s="32">
        <f t="shared" si="2"/>
        <v>6</v>
      </c>
    </row>
    <row r="23">
      <c r="A23" s="6" t="s">
        <v>121</v>
      </c>
      <c r="B23" s="32">
        <f t="shared" ref="B23:L23" si="3">sum(B7:B11)</f>
        <v>777</v>
      </c>
      <c r="C23" s="32">
        <f t="shared" si="3"/>
        <v>6</v>
      </c>
      <c r="D23" s="32">
        <f t="shared" si="3"/>
        <v>9</v>
      </c>
      <c r="E23" s="32">
        <f t="shared" si="3"/>
        <v>8</v>
      </c>
      <c r="F23" s="32">
        <f t="shared" si="3"/>
        <v>13</v>
      </c>
      <c r="G23" s="32">
        <f t="shared" si="3"/>
        <v>7</v>
      </c>
      <c r="H23" s="32">
        <f t="shared" si="3"/>
        <v>8</v>
      </c>
      <c r="I23" s="32">
        <f t="shared" si="3"/>
        <v>9</v>
      </c>
      <c r="J23" s="32">
        <f t="shared" si="3"/>
        <v>12</v>
      </c>
      <c r="K23" s="32">
        <f t="shared" si="3"/>
        <v>10</v>
      </c>
      <c r="L23" s="32">
        <f t="shared" si="3"/>
        <v>4</v>
      </c>
    </row>
    <row r="24">
      <c r="A24" s="6" t="s">
        <v>120</v>
      </c>
      <c r="B24" s="32">
        <f t="shared" ref="B24:L24" si="4">sum(B12:B15)</f>
        <v>963</v>
      </c>
      <c r="C24" s="32">
        <f t="shared" si="4"/>
        <v>8</v>
      </c>
      <c r="D24" s="32">
        <f t="shared" si="4"/>
        <v>12</v>
      </c>
      <c r="E24" s="32">
        <f t="shared" si="4"/>
        <v>11</v>
      </c>
      <c r="F24" s="32">
        <f t="shared" si="4"/>
        <v>13</v>
      </c>
      <c r="G24" s="32">
        <f t="shared" si="4"/>
        <v>17</v>
      </c>
      <c r="H24" s="32">
        <f t="shared" si="4"/>
        <v>18</v>
      </c>
      <c r="I24" s="32">
        <f t="shared" si="4"/>
        <v>40</v>
      </c>
      <c r="J24" s="32">
        <f t="shared" si="4"/>
        <v>27</v>
      </c>
      <c r="K24" s="32">
        <f t="shared" si="4"/>
        <v>11</v>
      </c>
      <c r="L24" s="32">
        <f t="shared" si="4"/>
        <v>4</v>
      </c>
    </row>
    <row r="25">
      <c r="A25" s="6" t="s">
        <v>123</v>
      </c>
      <c r="B25" s="32">
        <f t="shared" ref="B25:L25" si="5">Sum(B5:B6)</f>
        <v>71</v>
      </c>
      <c r="C25" s="32">
        <f t="shared" si="5"/>
        <v>0</v>
      </c>
      <c r="D25" s="32">
        <f t="shared" si="5"/>
        <v>0</v>
      </c>
      <c r="E25" s="32">
        <f t="shared" si="5"/>
        <v>1</v>
      </c>
      <c r="F25" s="32">
        <f t="shared" si="5"/>
        <v>1</v>
      </c>
      <c r="G25" s="32">
        <f t="shared" si="5"/>
        <v>2</v>
      </c>
      <c r="H25" s="32">
        <f t="shared" si="5"/>
        <v>1</v>
      </c>
      <c r="I25" s="32">
        <f t="shared" si="5"/>
        <v>1</v>
      </c>
      <c r="J25" s="32">
        <f t="shared" si="5"/>
        <v>6</v>
      </c>
      <c r="K25" s="32">
        <f t="shared" si="5"/>
        <v>4</v>
      </c>
      <c r="L25" s="32">
        <f t="shared" si="5"/>
        <v>0</v>
      </c>
    </row>
    <row r="26">
      <c r="A26" s="43" t="s">
        <v>10</v>
      </c>
      <c r="B26" s="50">
        <f t="shared" ref="B26:L26" si="6">SUM(B21:B25)</f>
        <v>4762</v>
      </c>
      <c r="C26" s="50">
        <f t="shared" si="6"/>
        <v>32</v>
      </c>
      <c r="D26" s="50">
        <f t="shared" si="6"/>
        <v>47</v>
      </c>
      <c r="E26" s="50">
        <f t="shared" si="6"/>
        <v>32</v>
      </c>
      <c r="F26" s="50">
        <f t="shared" si="6"/>
        <v>48</v>
      </c>
      <c r="G26" s="50">
        <f t="shared" si="6"/>
        <v>46</v>
      </c>
      <c r="H26" s="50">
        <f t="shared" si="6"/>
        <v>41</v>
      </c>
      <c r="I26" s="50">
        <f t="shared" si="6"/>
        <v>70</v>
      </c>
      <c r="J26" s="50">
        <f t="shared" si="6"/>
        <v>72</v>
      </c>
      <c r="K26" s="50">
        <f t="shared" si="6"/>
        <v>44</v>
      </c>
      <c r="L26" s="50">
        <f t="shared" si="6"/>
        <v>18</v>
      </c>
    </row>
  </sheetData>
  <mergeCells count="3">
    <mergeCell ref="A1:L1"/>
    <mergeCell ref="A2:L2"/>
    <mergeCell ref="A3:L3"/>
  </mergeCells>
  <hyperlinks>
    <hyperlink r:id="rId1" ref="A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12" width="7.63"/>
  </cols>
  <sheetData>
    <row r="1">
      <c r="A1" s="22" t="s">
        <v>172</v>
      </c>
    </row>
    <row r="2">
      <c r="A2" s="2" t="s">
        <v>1</v>
      </c>
    </row>
    <row r="3" ht="15.75" customHeight="1">
      <c r="A3" s="46" t="s">
        <v>2</v>
      </c>
    </row>
    <row r="4" ht="15.75" customHeight="1">
      <c r="A4" s="51" t="s">
        <v>102</v>
      </c>
      <c r="B4" s="52" t="s">
        <v>160</v>
      </c>
      <c r="C4" s="52" t="s">
        <v>161</v>
      </c>
      <c r="D4" s="52" t="s">
        <v>162</v>
      </c>
      <c r="E4" s="52" t="s">
        <v>163</v>
      </c>
      <c r="F4" s="52" t="s">
        <v>164</v>
      </c>
      <c r="G4" s="52" t="s">
        <v>165</v>
      </c>
      <c r="H4" s="52" t="s">
        <v>166</v>
      </c>
      <c r="I4" s="52" t="s">
        <v>167</v>
      </c>
      <c r="J4" s="52" t="s">
        <v>168</v>
      </c>
      <c r="K4" s="52" t="s">
        <v>169</v>
      </c>
      <c r="L4" s="52" t="s">
        <v>170</v>
      </c>
    </row>
    <row r="5" ht="15.75" customHeight="1">
      <c r="A5" s="6" t="s">
        <v>114</v>
      </c>
      <c r="B5" s="14">
        <v>1.0</v>
      </c>
      <c r="C5" s="32">
        <v>2.0</v>
      </c>
      <c r="D5" s="32">
        <v>0.0</v>
      </c>
      <c r="E5" s="32">
        <v>1.0</v>
      </c>
      <c r="F5" s="32">
        <v>2.0</v>
      </c>
      <c r="G5" s="14">
        <v>0.0</v>
      </c>
      <c r="H5" s="14">
        <v>4.0</v>
      </c>
      <c r="I5" s="14">
        <v>1.0</v>
      </c>
      <c r="J5" s="14">
        <v>2.0</v>
      </c>
      <c r="K5" s="14">
        <v>7.0</v>
      </c>
      <c r="L5" s="14">
        <v>1.0</v>
      </c>
    </row>
    <row r="6" ht="15.75" customHeight="1">
      <c r="A6" s="6" t="s">
        <v>115</v>
      </c>
      <c r="B6" s="14">
        <v>22.0</v>
      </c>
      <c r="C6" s="32">
        <v>0.0</v>
      </c>
      <c r="D6" s="32">
        <v>0.0</v>
      </c>
      <c r="E6" s="32">
        <v>3.0</v>
      </c>
      <c r="F6" s="32">
        <v>2.0</v>
      </c>
      <c r="G6" s="14">
        <v>5.0</v>
      </c>
      <c r="H6" s="14">
        <v>4.0</v>
      </c>
      <c r="I6" s="14">
        <v>13.0</v>
      </c>
      <c r="J6" s="14">
        <v>3.0</v>
      </c>
      <c r="K6" s="14">
        <v>27.0</v>
      </c>
      <c r="L6" s="14">
        <v>2.0</v>
      </c>
    </row>
    <row r="7" ht="15.75" customHeight="1">
      <c r="A7" s="6" t="s">
        <v>104</v>
      </c>
      <c r="B7" s="14">
        <v>6.0</v>
      </c>
      <c r="C7" s="32">
        <v>0.0</v>
      </c>
      <c r="D7" s="32">
        <v>4.0</v>
      </c>
      <c r="E7" s="32">
        <v>5.0</v>
      </c>
      <c r="F7" s="32">
        <v>14.0</v>
      </c>
      <c r="G7" s="14">
        <v>2.0</v>
      </c>
      <c r="H7" s="14">
        <v>2.0</v>
      </c>
      <c r="I7" s="14">
        <v>4.0</v>
      </c>
      <c r="J7" s="14">
        <v>13.0</v>
      </c>
      <c r="K7" s="14">
        <v>12.0</v>
      </c>
      <c r="L7" s="14">
        <v>9.0</v>
      </c>
    </row>
    <row r="8" ht="15.75" customHeight="1">
      <c r="A8" s="6" t="s">
        <v>103</v>
      </c>
      <c r="B8" s="14">
        <v>8.0</v>
      </c>
      <c r="C8" s="32">
        <v>0.0</v>
      </c>
      <c r="D8" s="32">
        <v>0.0</v>
      </c>
      <c r="E8" s="32">
        <v>1.0</v>
      </c>
      <c r="F8" s="32">
        <v>4.0</v>
      </c>
      <c r="G8" s="14">
        <v>1.0</v>
      </c>
      <c r="H8" s="14">
        <v>3.0</v>
      </c>
      <c r="I8" s="14">
        <v>4.0</v>
      </c>
      <c r="J8" s="14">
        <v>4.0</v>
      </c>
      <c r="K8" s="14">
        <v>4.0</v>
      </c>
      <c r="L8" s="14">
        <v>3.0</v>
      </c>
    </row>
    <row r="9" ht="15.75" customHeight="1">
      <c r="A9" s="6" t="s">
        <v>113</v>
      </c>
      <c r="B9" s="14">
        <v>0.0</v>
      </c>
      <c r="C9" s="32">
        <v>0.0</v>
      </c>
      <c r="D9" s="32">
        <v>0.0</v>
      </c>
      <c r="E9" s="32">
        <v>0.0</v>
      </c>
      <c r="F9" s="32">
        <v>0.0</v>
      </c>
      <c r="G9" s="14">
        <v>0.0</v>
      </c>
      <c r="H9" s="14">
        <v>0.0</v>
      </c>
      <c r="I9" s="14">
        <v>0.0</v>
      </c>
      <c r="J9" s="14">
        <v>1.0</v>
      </c>
      <c r="K9" s="14">
        <v>1.0</v>
      </c>
      <c r="L9" s="14">
        <v>0.0</v>
      </c>
    </row>
    <row r="10" ht="15.75" customHeight="1">
      <c r="A10" s="6" t="s">
        <v>112</v>
      </c>
      <c r="B10" s="14">
        <v>0.0</v>
      </c>
      <c r="C10" s="32">
        <v>0.0</v>
      </c>
      <c r="D10" s="32">
        <v>0.0</v>
      </c>
      <c r="E10" s="32">
        <v>0.0</v>
      </c>
      <c r="F10" s="32">
        <v>0.0</v>
      </c>
      <c r="G10" s="14">
        <v>0.0</v>
      </c>
      <c r="H10" s="14">
        <v>0.0</v>
      </c>
      <c r="I10" s="14">
        <v>0.0</v>
      </c>
      <c r="J10" s="14">
        <v>4.0</v>
      </c>
      <c r="K10" s="14">
        <v>11.0</v>
      </c>
      <c r="L10" s="14">
        <v>0.0</v>
      </c>
    </row>
    <row r="11" ht="15.75" customHeight="1">
      <c r="A11" s="6" t="s">
        <v>109</v>
      </c>
      <c r="B11" s="14">
        <v>18.0</v>
      </c>
      <c r="C11" s="32">
        <v>1.0</v>
      </c>
      <c r="D11" s="32">
        <v>2.0</v>
      </c>
      <c r="E11" s="32">
        <v>5.0</v>
      </c>
      <c r="F11" s="32">
        <v>1.0</v>
      </c>
      <c r="G11" s="14">
        <v>1.0</v>
      </c>
      <c r="H11" s="14">
        <v>4.0</v>
      </c>
      <c r="I11" s="14">
        <v>7.0</v>
      </c>
      <c r="J11" s="14">
        <v>5.0</v>
      </c>
      <c r="K11" s="14">
        <v>8.0</v>
      </c>
      <c r="L11" s="14">
        <v>6.0</v>
      </c>
    </row>
    <row r="12" ht="15.75" customHeight="1">
      <c r="A12" s="6" t="s">
        <v>111</v>
      </c>
      <c r="B12" s="14">
        <v>5.0</v>
      </c>
      <c r="C12" s="32">
        <v>0.0</v>
      </c>
      <c r="D12" s="32">
        <v>1.0</v>
      </c>
      <c r="E12" s="32">
        <v>2.0</v>
      </c>
      <c r="F12" s="32">
        <v>2.0</v>
      </c>
      <c r="G12" s="14">
        <v>2.0</v>
      </c>
      <c r="H12" s="14">
        <v>1.0</v>
      </c>
      <c r="I12" s="14">
        <v>3.0</v>
      </c>
      <c r="J12" s="14">
        <v>3.0</v>
      </c>
      <c r="K12" s="14">
        <v>1.0</v>
      </c>
      <c r="L12" s="14">
        <v>3.0</v>
      </c>
    </row>
    <row r="13" ht="15.75" customHeight="1">
      <c r="A13" s="6" t="s">
        <v>110</v>
      </c>
      <c r="B13" s="14">
        <v>11.0</v>
      </c>
      <c r="C13" s="32">
        <v>0.0</v>
      </c>
      <c r="D13" s="32">
        <v>6.0</v>
      </c>
      <c r="E13" s="32">
        <v>3.0</v>
      </c>
      <c r="F13" s="32">
        <v>3.0</v>
      </c>
      <c r="G13" s="14">
        <v>1.0</v>
      </c>
      <c r="H13" s="14">
        <v>5.0</v>
      </c>
      <c r="I13" s="14">
        <v>5.0</v>
      </c>
      <c r="J13" s="14">
        <v>2.0</v>
      </c>
      <c r="K13" s="14">
        <v>10.0</v>
      </c>
      <c r="L13" s="14">
        <v>6.0</v>
      </c>
    </row>
    <row r="14" ht="15.75" customHeight="1">
      <c r="A14" s="6" t="s">
        <v>107</v>
      </c>
      <c r="B14" s="14">
        <v>0.0</v>
      </c>
      <c r="C14" s="32">
        <v>0.0</v>
      </c>
      <c r="D14" s="32">
        <v>0.0</v>
      </c>
      <c r="E14" s="32">
        <v>0.0</v>
      </c>
      <c r="F14" s="32">
        <v>0.0</v>
      </c>
      <c r="G14" s="14">
        <v>0.0</v>
      </c>
      <c r="H14" s="14">
        <v>0.0</v>
      </c>
      <c r="I14" s="14">
        <v>1.0</v>
      </c>
      <c r="J14" s="14">
        <v>0.0</v>
      </c>
      <c r="K14" s="14">
        <v>0.0</v>
      </c>
      <c r="L14" s="14">
        <v>4.0</v>
      </c>
    </row>
    <row r="15" ht="15.75" customHeight="1">
      <c r="A15" s="6" t="s">
        <v>106</v>
      </c>
      <c r="B15" s="14">
        <v>0.0</v>
      </c>
      <c r="C15" s="32">
        <v>1.0</v>
      </c>
      <c r="D15" s="32">
        <v>0.0</v>
      </c>
      <c r="E15" s="32">
        <v>1.0</v>
      </c>
      <c r="F15" s="32">
        <v>3.0</v>
      </c>
      <c r="G15" s="14">
        <v>0.0</v>
      </c>
      <c r="H15" s="14">
        <v>4.0</v>
      </c>
      <c r="I15" s="14">
        <v>2.0</v>
      </c>
      <c r="J15" s="14">
        <v>8.0</v>
      </c>
      <c r="K15" s="14">
        <v>5.0</v>
      </c>
      <c r="L15" s="14">
        <v>3.0</v>
      </c>
    </row>
    <row r="16" ht="15.75" customHeight="1">
      <c r="A16" s="6" t="s">
        <v>105</v>
      </c>
      <c r="B16" s="14">
        <v>215.0</v>
      </c>
      <c r="C16" s="32">
        <v>1.0</v>
      </c>
      <c r="D16" s="32">
        <v>2.0</v>
      </c>
      <c r="E16" s="32">
        <v>4.0</v>
      </c>
      <c r="F16" s="32">
        <v>1.0</v>
      </c>
      <c r="G16" s="14">
        <v>1.0</v>
      </c>
      <c r="H16" s="14">
        <v>1.0</v>
      </c>
      <c r="I16" s="14">
        <v>9.0</v>
      </c>
      <c r="J16" s="14">
        <v>9.0</v>
      </c>
      <c r="K16" s="14">
        <v>3.0</v>
      </c>
      <c r="L16" s="14">
        <v>1.0</v>
      </c>
    </row>
    <row r="17" ht="15.75" customHeight="1">
      <c r="A17" s="6" t="s">
        <v>108</v>
      </c>
      <c r="B17" s="14">
        <v>1.0</v>
      </c>
      <c r="C17" s="32">
        <v>0.0</v>
      </c>
      <c r="D17" s="32">
        <v>0.0</v>
      </c>
      <c r="E17" s="32">
        <v>0.0</v>
      </c>
      <c r="F17" s="32">
        <v>0.0</v>
      </c>
      <c r="G17" s="14">
        <v>0.0</v>
      </c>
      <c r="H17" s="14">
        <v>0.0</v>
      </c>
      <c r="I17" s="14">
        <v>1.0</v>
      </c>
      <c r="J17" s="14">
        <v>0.0</v>
      </c>
      <c r="K17" s="14">
        <v>0.0</v>
      </c>
      <c r="L17" s="14">
        <v>0.0</v>
      </c>
    </row>
    <row r="18" ht="15.75" customHeight="1">
      <c r="A18" s="6" t="s">
        <v>116</v>
      </c>
      <c r="B18" s="14">
        <v>9.0</v>
      </c>
      <c r="C18" s="32">
        <v>0.0</v>
      </c>
      <c r="D18" s="32">
        <v>0.0</v>
      </c>
      <c r="E18" s="32">
        <v>2.0</v>
      </c>
      <c r="F18" s="32">
        <v>2.0</v>
      </c>
      <c r="G18" s="14">
        <v>1.0</v>
      </c>
      <c r="H18" s="14">
        <v>2.0</v>
      </c>
      <c r="I18" s="14">
        <v>2.0</v>
      </c>
      <c r="J18" s="14">
        <v>0.0</v>
      </c>
      <c r="K18" s="14">
        <v>0.0</v>
      </c>
      <c r="L18" s="14">
        <v>0.0</v>
      </c>
    </row>
    <row r="19" ht="15.75" customHeight="1">
      <c r="A19" s="51" t="s">
        <v>118</v>
      </c>
      <c r="B19" s="53" t="s">
        <v>160</v>
      </c>
      <c r="C19" s="54" t="s">
        <v>161</v>
      </c>
      <c r="D19" s="54" t="s">
        <v>162</v>
      </c>
      <c r="E19" s="54" t="s">
        <v>163</v>
      </c>
      <c r="F19" s="54" t="s">
        <v>164</v>
      </c>
      <c r="G19" s="53" t="s">
        <v>165</v>
      </c>
      <c r="H19" s="53" t="s">
        <v>166</v>
      </c>
      <c r="I19" s="53" t="s">
        <v>167</v>
      </c>
      <c r="J19" s="53" t="s">
        <v>168</v>
      </c>
      <c r="K19" s="53" t="s">
        <v>169</v>
      </c>
      <c r="L19" s="53" t="s">
        <v>170</v>
      </c>
    </row>
    <row r="20" ht="15.75" customHeight="1">
      <c r="A20" s="6" t="s">
        <v>122</v>
      </c>
      <c r="B20" s="7">
        <f t="shared" ref="B20:L20" si="1">sum(B5:B6)</f>
        <v>23</v>
      </c>
      <c r="C20" s="32">
        <f t="shared" si="1"/>
        <v>2</v>
      </c>
      <c r="D20" s="32">
        <f t="shared" si="1"/>
        <v>0</v>
      </c>
      <c r="E20" s="32">
        <f t="shared" si="1"/>
        <v>4</v>
      </c>
      <c r="F20" s="32">
        <f t="shared" si="1"/>
        <v>4</v>
      </c>
      <c r="G20" s="7">
        <f t="shared" si="1"/>
        <v>5</v>
      </c>
      <c r="H20" s="7">
        <f t="shared" si="1"/>
        <v>8</v>
      </c>
      <c r="I20" s="7">
        <f t="shared" si="1"/>
        <v>14</v>
      </c>
      <c r="J20" s="7">
        <f t="shared" si="1"/>
        <v>5</v>
      </c>
      <c r="K20" s="7">
        <f t="shared" si="1"/>
        <v>34</v>
      </c>
      <c r="L20" s="7">
        <f t="shared" si="1"/>
        <v>3</v>
      </c>
    </row>
    <row r="21" ht="15.75" customHeight="1">
      <c r="A21" s="6" t="s">
        <v>119</v>
      </c>
      <c r="B21" s="14">
        <f t="shared" ref="B21:L21" si="2">SUM(B7:B8)</f>
        <v>14</v>
      </c>
      <c r="C21" s="32">
        <f t="shared" si="2"/>
        <v>0</v>
      </c>
      <c r="D21" s="32">
        <f t="shared" si="2"/>
        <v>4</v>
      </c>
      <c r="E21" s="32">
        <f t="shared" si="2"/>
        <v>6</v>
      </c>
      <c r="F21" s="32">
        <f t="shared" si="2"/>
        <v>18</v>
      </c>
      <c r="G21" s="14">
        <f t="shared" si="2"/>
        <v>3</v>
      </c>
      <c r="H21" s="14">
        <f t="shared" si="2"/>
        <v>5</v>
      </c>
      <c r="I21" s="14">
        <f t="shared" si="2"/>
        <v>8</v>
      </c>
      <c r="J21" s="14">
        <f t="shared" si="2"/>
        <v>17</v>
      </c>
      <c r="K21" s="14">
        <f t="shared" si="2"/>
        <v>16</v>
      </c>
      <c r="L21" s="14">
        <f t="shared" si="2"/>
        <v>12</v>
      </c>
    </row>
    <row r="22" ht="15.75" customHeight="1">
      <c r="A22" s="6" t="s">
        <v>121</v>
      </c>
      <c r="B22" s="32">
        <f t="shared" ref="B22:L22" si="3">sum(B9:B12)</f>
        <v>23</v>
      </c>
      <c r="C22" s="32">
        <f t="shared" si="3"/>
        <v>1</v>
      </c>
      <c r="D22" s="32">
        <f t="shared" si="3"/>
        <v>3</v>
      </c>
      <c r="E22" s="32">
        <f t="shared" si="3"/>
        <v>7</v>
      </c>
      <c r="F22" s="32">
        <f t="shared" si="3"/>
        <v>3</v>
      </c>
      <c r="G22" s="32">
        <f t="shared" si="3"/>
        <v>3</v>
      </c>
      <c r="H22" s="32">
        <f t="shared" si="3"/>
        <v>5</v>
      </c>
      <c r="I22" s="32">
        <f t="shared" si="3"/>
        <v>10</v>
      </c>
      <c r="J22" s="32">
        <f t="shared" si="3"/>
        <v>13</v>
      </c>
      <c r="K22" s="32">
        <f t="shared" si="3"/>
        <v>21</v>
      </c>
      <c r="L22" s="32">
        <f t="shared" si="3"/>
        <v>9</v>
      </c>
    </row>
    <row r="23" ht="15.75" customHeight="1">
      <c r="A23" s="6" t="s">
        <v>120</v>
      </c>
      <c r="B23" s="32">
        <f t="shared" ref="B23:L23" si="4">SUM(B14:B17)</f>
        <v>216</v>
      </c>
      <c r="C23" s="32">
        <f t="shared" si="4"/>
        <v>2</v>
      </c>
      <c r="D23" s="32">
        <f t="shared" si="4"/>
        <v>2</v>
      </c>
      <c r="E23" s="32">
        <f t="shared" si="4"/>
        <v>5</v>
      </c>
      <c r="F23" s="32">
        <f t="shared" si="4"/>
        <v>4</v>
      </c>
      <c r="G23" s="32">
        <f t="shared" si="4"/>
        <v>1</v>
      </c>
      <c r="H23" s="32">
        <f t="shared" si="4"/>
        <v>5</v>
      </c>
      <c r="I23" s="32">
        <f t="shared" si="4"/>
        <v>13</v>
      </c>
      <c r="J23" s="32">
        <f t="shared" si="4"/>
        <v>17</v>
      </c>
      <c r="K23" s="32">
        <f t="shared" si="4"/>
        <v>8</v>
      </c>
      <c r="L23" s="32">
        <f t="shared" si="4"/>
        <v>8</v>
      </c>
    </row>
    <row r="24" ht="15.75" customHeight="1">
      <c r="A24" s="6" t="s">
        <v>123</v>
      </c>
      <c r="B24" s="32">
        <f t="shared" ref="B24:L24" si="5">sum(B18)</f>
        <v>9</v>
      </c>
      <c r="C24" s="32">
        <f t="shared" si="5"/>
        <v>0</v>
      </c>
      <c r="D24" s="32">
        <f t="shared" si="5"/>
        <v>0</v>
      </c>
      <c r="E24" s="32">
        <f t="shared" si="5"/>
        <v>2</v>
      </c>
      <c r="F24" s="32">
        <f t="shared" si="5"/>
        <v>2</v>
      </c>
      <c r="G24" s="32">
        <f t="shared" si="5"/>
        <v>1</v>
      </c>
      <c r="H24" s="32">
        <f t="shared" si="5"/>
        <v>2</v>
      </c>
      <c r="I24" s="32">
        <f t="shared" si="5"/>
        <v>2</v>
      </c>
      <c r="J24" s="32">
        <f t="shared" si="5"/>
        <v>0</v>
      </c>
      <c r="K24" s="32">
        <f t="shared" si="5"/>
        <v>0</v>
      </c>
      <c r="L24" s="32">
        <f t="shared" si="5"/>
        <v>0</v>
      </c>
    </row>
    <row r="25" ht="15.75" customHeight="1">
      <c r="A25" s="55" t="s">
        <v>10</v>
      </c>
      <c r="B25" s="32">
        <f t="shared" ref="B25:L25" si="6">SUM(B20:B24)</f>
        <v>285</v>
      </c>
      <c r="C25" s="32">
        <f t="shared" si="6"/>
        <v>5</v>
      </c>
      <c r="D25" s="32">
        <f t="shared" si="6"/>
        <v>9</v>
      </c>
      <c r="E25" s="32">
        <f t="shared" si="6"/>
        <v>24</v>
      </c>
      <c r="F25" s="32">
        <f t="shared" si="6"/>
        <v>31</v>
      </c>
      <c r="G25" s="32">
        <f t="shared" si="6"/>
        <v>13</v>
      </c>
      <c r="H25" s="32">
        <f t="shared" si="6"/>
        <v>25</v>
      </c>
      <c r="I25" s="32">
        <f t="shared" si="6"/>
        <v>47</v>
      </c>
      <c r="J25" s="32">
        <f t="shared" si="6"/>
        <v>52</v>
      </c>
      <c r="K25" s="32">
        <f t="shared" si="6"/>
        <v>79</v>
      </c>
      <c r="L25" s="32">
        <f t="shared" si="6"/>
        <v>32</v>
      </c>
    </row>
    <row r="26" ht="15.75" customHeight="1">
      <c r="A26" s="6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ht="15.75" customHeight="1">
      <c r="A27" s="56" t="s">
        <v>173</v>
      </c>
    </row>
  </sheetData>
  <mergeCells count="4">
    <mergeCell ref="A1:L1"/>
    <mergeCell ref="A2:L2"/>
    <mergeCell ref="A3:L3"/>
    <mergeCell ref="A27:L27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2" width="9.0"/>
  </cols>
  <sheetData>
    <row r="1">
      <c r="A1" s="22" t="s">
        <v>174</v>
      </c>
    </row>
    <row r="2">
      <c r="A2" s="2" t="s">
        <v>1</v>
      </c>
    </row>
    <row r="3">
      <c r="A3" s="3" t="s">
        <v>2</v>
      </c>
    </row>
    <row r="4">
      <c r="A4" s="57" t="s">
        <v>3</v>
      </c>
      <c r="B4" s="58" t="s">
        <v>160</v>
      </c>
      <c r="C4" s="58" t="s">
        <v>161</v>
      </c>
      <c r="D4" s="58" t="s">
        <v>162</v>
      </c>
      <c r="E4" s="58" t="s">
        <v>163</v>
      </c>
      <c r="F4" s="58" t="s">
        <v>164</v>
      </c>
      <c r="G4" s="58" t="s">
        <v>165</v>
      </c>
      <c r="H4" s="58" t="s">
        <v>166</v>
      </c>
      <c r="I4" s="58" t="s">
        <v>167</v>
      </c>
      <c r="J4" s="58" t="s">
        <v>168</v>
      </c>
      <c r="K4" s="58" t="s">
        <v>169</v>
      </c>
      <c r="L4" s="52" t="s">
        <v>170</v>
      </c>
    </row>
    <row r="5">
      <c r="A5" s="6" t="s">
        <v>11</v>
      </c>
      <c r="B5" s="7">
        <v>1.0</v>
      </c>
      <c r="C5" s="7">
        <v>0.0</v>
      </c>
      <c r="D5" s="7">
        <v>0.0</v>
      </c>
      <c r="E5" s="7">
        <v>0.0</v>
      </c>
      <c r="F5" s="7">
        <v>1.0</v>
      </c>
      <c r="G5" s="7">
        <v>0.0</v>
      </c>
      <c r="H5" s="7">
        <v>1.0</v>
      </c>
      <c r="I5" s="7">
        <v>0.0</v>
      </c>
      <c r="J5" s="7">
        <v>1.0</v>
      </c>
      <c r="K5" s="7">
        <v>1.0</v>
      </c>
      <c r="L5" s="7">
        <v>0.0</v>
      </c>
    </row>
    <row r="6" ht="15.75" customHeight="1">
      <c r="A6" s="6" t="s">
        <v>12</v>
      </c>
      <c r="B6" s="7">
        <v>20.0</v>
      </c>
      <c r="C6" s="7">
        <v>0.0</v>
      </c>
      <c r="D6" s="7">
        <v>0.0</v>
      </c>
      <c r="E6" s="7">
        <v>1.0</v>
      </c>
      <c r="F6" s="7">
        <v>0.0</v>
      </c>
      <c r="G6" s="7">
        <v>1.0</v>
      </c>
      <c r="H6" s="7">
        <v>0.0</v>
      </c>
      <c r="I6" s="7">
        <v>4.0</v>
      </c>
      <c r="J6" s="7">
        <v>1.0</v>
      </c>
      <c r="K6" s="7">
        <v>1.0</v>
      </c>
      <c r="L6" s="7">
        <v>0.0</v>
      </c>
    </row>
    <row r="7">
      <c r="A7" s="6" t="s">
        <v>13</v>
      </c>
      <c r="B7" s="7">
        <v>0.0</v>
      </c>
      <c r="C7" s="7">
        <v>0.0</v>
      </c>
      <c r="D7" s="7">
        <v>1.0</v>
      </c>
      <c r="E7" s="7">
        <v>0.0</v>
      </c>
      <c r="F7" s="7">
        <v>0.0</v>
      </c>
      <c r="G7" s="7">
        <v>0.0</v>
      </c>
      <c r="H7" s="7">
        <v>0.0</v>
      </c>
      <c r="I7" s="7">
        <v>1.0</v>
      </c>
      <c r="J7" s="7">
        <v>0.0</v>
      </c>
      <c r="K7" s="7">
        <v>0.0</v>
      </c>
      <c r="L7" s="7">
        <v>0.0</v>
      </c>
    </row>
    <row r="8">
      <c r="A8" s="6" t="s">
        <v>14</v>
      </c>
      <c r="B8" s="7">
        <v>9.0</v>
      </c>
      <c r="C8" s="7">
        <v>0.0</v>
      </c>
      <c r="D8" s="7">
        <v>0.0</v>
      </c>
      <c r="E8" s="7">
        <v>2.0</v>
      </c>
      <c r="F8" s="7">
        <v>2.0</v>
      </c>
      <c r="G8" s="7">
        <v>1.0</v>
      </c>
      <c r="H8" s="7">
        <v>2.0</v>
      </c>
      <c r="I8" s="7">
        <v>2.0</v>
      </c>
      <c r="J8" s="7">
        <v>0.0</v>
      </c>
      <c r="K8" s="7">
        <v>0.0</v>
      </c>
      <c r="L8" s="7">
        <v>0.0</v>
      </c>
    </row>
    <row r="9">
      <c r="A9" s="6" t="s">
        <v>16</v>
      </c>
      <c r="B9" s="7">
        <v>1.0</v>
      </c>
      <c r="C9" s="7">
        <v>0.0</v>
      </c>
      <c r="D9" s="7">
        <v>1.0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1.0</v>
      </c>
      <c r="L9" s="7">
        <v>0.0</v>
      </c>
    </row>
    <row r="10">
      <c r="A10" s="6" t="s">
        <v>20</v>
      </c>
      <c r="B10" s="7">
        <v>0.0</v>
      </c>
      <c r="C10" s="7">
        <v>0.0</v>
      </c>
      <c r="D10" s="7">
        <v>1.0</v>
      </c>
      <c r="E10" s="7">
        <v>0.0</v>
      </c>
      <c r="F10" s="7">
        <v>0.0</v>
      </c>
      <c r="G10" s="7">
        <v>0.0</v>
      </c>
      <c r="H10" s="7">
        <v>2.0</v>
      </c>
      <c r="I10" s="7">
        <v>0.0</v>
      </c>
      <c r="J10" s="7">
        <v>2.0</v>
      </c>
      <c r="K10" s="7">
        <v>2.0</v>
      </c>
      <c r="L10" s="7">
        <v>6.0</v>
      </c>
    </row>
    <row r="11">
      <c r="A11" s="6" t="s">
        <v>21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1.0</v>
      </c>
      <c r="J11" s="7">
        <v>0.0</v>
      </c>
      <c r="K11" s="7">
        <v>0.0</v>
      </c>
      <c r="L11" s="7">
        <v>2.0</v>
      </c>
    </row>
    <row r="12">
      <c r="A12" s="6" t="s">
        <v>23</v>
      </c>
      <c r="B12" s="7">
        <v>6.0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</row>
    <row r="13">
      <c r="A13" s="6" t="s">
        <v>26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4.0</v>
      </c>
      <c r="K13" s="7">
        <v>11.0</v>
      </c>
      <c r="L13" s="7">
        <v>0.0</v>
      </c>
    </row>
    <row r="14">
      <c r="A14" s="6" t="s">
        <v>30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2.0</v>
      </c>
      <c r="J14" s="7">
        <v>0.0</v>
      </c>
      <c r="K14" s="7">
        <v>0.0</v>
      </c>
      <c r="L14" s="7">
        <v>0.0</v>
      </c>
    </row>
    <row r="15">
      <c r="A15" s="6" t="s">
        <v>31</v>
      </c>
      <c r="B15" s="7">
        <v>0.0</v>
      </c>
      <c r="C15" s="7">
        <v>0.0</v>
      </c>
      <c r="D15" s="7">
        <v>1.0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</row>
    <row r="16">
      <c r="A16" s="6" t="s">
        <v>33</v>
      </c>
      <c r="B16" s="7">
        <v>0.0</v>
      </c>
      <c r="C16" s="7">
        <v>2.0</v>
      </c>
      <c r="D16" s="7">
        <v>0.0</v>
      </c>
      <c r="E16" s="7">
        <v>1.0</v>
      </c>
      <c r="F16" s="7">
        <v>0.0</v>
      </c>
      <c r="G16" s="7">
        <v>0.0</v>
      </c>
      <c r="H16" s="7">
        <v>2.0</v>
      </c>
      <c r="I16" s="7">
        <v>1.0</v>
      </c>
      <c r="J16" s="7">
        <v>0.0</v>
      </c>
      <c r="K16" s="7">
        <v>2.0</v>
      </c>
      <c r="L16" s="7">
        <v>1.0</v>
      </c>
    </row>
    <row r="17">
      <c r="A17" s="6" t="s">
        <v>38</v>
      </c>
      <c r="B17" s="7">
        <v>1.0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</row>
    <row r="18">
      <c r="A18" s="6" t="s">
        <v>40</v>
      </c>
      <c r="B18" s="7">
        <v>0.0</v>
      </c>
      <c r="C18" s="7">
        <v>0.0</v>
      </c>
      <c r="D18" s="7">
        <v>1.0</v>
      </c>
      <c r="E18" s="7">
        <v>0.0</v>
      </c>
      <c r="F18" s="7">
        <v>1.0</v>
      </c>
      <c r="G18" s="7">
        <v>1.0</v>
      </c>
      <c r="H18" s="7">
        <v>0.0</v>
      </c>
      <c r="I18" s="7">
        <v>1.0</v>
      </c>
      <c r="J18" s="7">
        <v>1.0</v>
      </c>
      <c r="K18" s="7">
        <v>3.0</v>
      </c>
      <c r="L18" s="7">
        <v>1.0</v>
      </c>
    </row>
    <row r="19">
      <c r="A19" s="6" t="s">
        <v>41</v>
      </c>
      <c r="B19" s="7">
        <v>0.0</v>
      </c>
      <c r="C19" s="7">
        <v>0.0</v>
      </c>
      <c r="D19" s="7">
        <v>0.0</v>
      </c>
      <c r="E19" s="7">
        <v>0.0</v>
      </c>
      <c r="F19" s="7">
        <v>1.0</v>
      </c>
      <c r="G19" s="7">
        <v>0.0</v>
      </c>
      <c r="H19" s="7">
        <v>0.0</v>
      </c>
      <c r="I19" s="7">
        <v>1.0</v>
      </c>
      <c r="J19" s="7">
        <v>0.0</v>
      </c>
      <c r="K19" s="7">
        <v>0.0</v>
      </c>
      <c r="L19" s="7">
        <v>0.0</v>
      </c>
    </row>
    <row r="20">
      <c r="A20" s="6" t="s">
        <v>42</v>
      </c>
      <c r="B20" s="7">
        <v>0.0</v>
      </c>
      <c r="C20" s="7">
        <v>0.0</v>
      </c>
      <c r="D20" s="7">
        <v>1.0</v>
      </c>
      <c r="E20" s="7">
        <v>2.0</v>
      </c>
      <c r="F20" s="7">
        <v>2.0</v>
      </c>
      <c r="G20" s="7">
        <v>0.0</v>
      </c>
      <c r="H20" s="7">
        <v>0.0</v>
      </c>
      <c r="I20" s="7">
        <v>1.0</v>
      </c>
      <c r="J20" s="7">
        <v>0.0</v>
      </c>
      <c r="K20" s="7">
        <v>0.0</v>
      </c>
      <c r="L20" s="7">
        <v>0.0</v>
      </c>
    </row>
    <row r="21">
      <c r="A21" s="6" t="s">
        <v>43</v>
      </c>
      <c r="B21" s="7">
        <v>8.0</v>
      </c>
      <c r="C21" s="7">
        <v>0.0</v>
      </c>
      <c r="D21" s="7">
        <v>1.0</v>
      </c>
      <c r="E21" s="7">
        <v>2.0</v>
      </c>
      <c r="F21" s="7">
        <v>0.0</v>
      </c>
      <c r="G21" s="7">
        <v>0.0</v>
      </c>
      <c r="H21" s="7">
        <v>1.0</v>
      </c>
      <c r="I21" s="7">
        <v>0.0</v>
      </c>
      <c r="J21" s="7">
        <v>2.0</v>
      </c>
      <c r="K21" s="7">
        <v>3.0</v>
      </c>
      <c r="L21" s="7">
        <v>4.0</v>
      </c>
    </row>
    <row r="22">
      <c r="A22" s="6" t="s">
        <v>44</v>
      </c>
      <c r="B22" s="7">
        <v>5.0</v>
      </c>
      <c r="C22" s="7">
        <v>0.0</v>
      </c>
      <c r="D22" s="7">
        <v>0.0</v>
      </c>
      <c r="E22" s="7">
        <v>0.0</v>
      </c>
      <c r="F22" s="7">
        <v>0.0</v>
      </c>
      <c r="G22" s="7">
        <v>1.0</v>
      </c>
      <c r="H22" s="7">
        <v>1.0</v>
      </c>
      <c r="I22" s="7">
        <v>2.0</v>
      </c>
      <c r="J22" s="7">
        <v>3.0</v>
      </c>
      <c r="K22" s="7">
        <v>1.0</v>
      </c>
      <c r="L22" s="7">
        <v>3.0</v>
      </c>
    </row>
    <row r="23">
      <c r="A23" s="6" t="s">
        <v>45</v>
      </c>
      <c r="B23" s="7">
        <v>2.0</v>
      </c>
      <c r="C23" s="7">
        <v>0.0</v>
      </c>
      <c r="D23" s="7">
        <v>0.0</v>
      </c>
      <c r="E23" s="7">
        <v>2.0</v>
      </c>
      <c r="F23" s="7">
        <v>0.0</v>
      </c>
      <c r="G23" s="7">
        <v>0.0</v>
      </c>
      <c r="H23" s="7">
        <v>1.0</v>
      </c>
      <c r="I23" s="7">
        <v>0.0</v>
      </c>
      <c r="J23" s="7">
        <v>0.0</v>
      </c>
      <c r="K23" s="7">
        <v>4.0</v>
      </c>
      <c r="L23" s="7">
        <v>1.0</v>
      </c>
    </row>
    <row r="24" ht="15.75" customHeight="1">
      <c r="A24" s="6" t="s">
        <v>46</v>
      </c>
      <c r="B24" s="7">
        <v>1.0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</row>
    <row r="25" ht="15.75" customHeight="1">
      <c r="A25" s="6" t="s">
        <v>47</v>
      </c>
      <c r="B25" s="7">
        <v>1.0</v>
      </c>
      <c r="C25" s="7">
        <v>0.0</v>
      </c>
      <c r="D25" s="7">
        <v>3.0</v>
      </c>
      <c r="E25" s="7">
        <v>0.0</v>
      </c>
      <c r="F25" s="7">
        <v>0.0</v>
      </c>
      <c r="G25" s="7">
        <v>0.0</v>
      </c>
      <c r="H25" s="7">
        <v>1.0</v>
      </c>
      <c r="I25" s="7">
        <v>1.0</v>
      </c>
      <c r="J25" s="7">
        <v>0.0</v>
      </c>
      <c r="K25" s="7">
        <v>3.0</v>
      </c>
      <c r="L25" s="7">
        <v>0.0</v>
      </c>
    </row>
    <row r="26" ht="15.75" customHeight="1">
      <c r="A26" s="6" t="s">
        <v>48</v>
      </c>
      <c r="B26" s="7">
        <v>1.0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1.0</v>
      </c>
      <c r="J26" s="7">
        <v>0.0</v>
      </c>
      <c r="K26" s="7">
        <v>0.0</v>
      </c>
      <c r="L26" s="7">
        <v>0.0</v>
      </c>
    </row>
    <row r="27" ht="15.75" customHeight="1">
      <c r="A27" s="6" t="s">
        <v>51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1.0</v>
      </c>
      <c r="K27" s="7">
        <v>0.0</v>
      </c>
      <c r="L27" s="7">
        <v>0.0</v>
      </c>
    </row>
    <row r="28" ht="15.75" customHeight="1">
      <c r="A28" s="6" t="s">
        <v>52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1.0</v>
      </c>
      <c r="J28" s="7">
        <v>0.0</v>
      </c>
      <c r="K28" s="7">
        <v>0.0</v>
      </c>
      <c r="L28" s="7">
        <v>0.0</v>
      </c>
    </row>
    <row r="29" ht="15.75" customHeight="1">
      <c r="A29" s="6" t="s">
        <v>53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1.0</v>
      </c>
    </row>
    <row r="30" ht="15.75" customHeight="1">
      <c r="A30" s="6" t="s">
        <v>54</v>
      </c>
      <c r="B30" s="7">
        <v>0.0</v>
      </c>
      <c r="C30" s="7">
        <v>0.0</v>
      </c>
      <c r="D30" s="7">
        <v>0.0</v>
      </c>
      <c r="E30" s="7">
        <v>0.0</v>
      </c>
      <c r="F30" s="7">
        <v>1.0</v>
      </c>
      <c r="G30" s="7">
        <v>0.0</v>
      </c>
      <c r="H30" s="7">
        <v>1.0</v>
      </c>
      <c r="I30" s="7">
        <v>0.0</v>
      </c>
      <c r="J30" s="7">
        <v>1.0</v>
      </c>
      <c r="K30" s="7">
        <v>4.0</v>
      </c>
      <c r="L30" s="7">
        <v>0.0</v>
      </c>
    </row>
    <row r="31" ht="15.75" customHeight="1">
      <c r="A31" s="6" t="s">
        <v>131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1.0</v>
      </c>
      <c r="J31" s="7">
        <v>0.0</v>
      </c>
      <c r="K31" s="7">
        <v>0.0</v>
      </c>
      <c r="L31" s="7">
        <v>0.0</v>
      </c>
    </row>
    <row r="32" ht="15.75" customHeight="1">
      <c r="A32" s="6" t="s">
        <v>55</v>
      </c>
      <c r="B32" s="7">
        <v>8.0</v>
      </c>
      <c r="C32" s="7">
        <v>1.0</v>
      </c>
      <c r="D32" s="7">
        <v>1.0</v>
      </c>
      <c r="E32" s="7">
        <v>3.0</v>
      </c>
      <c r="F32" s="7">
        <v>1.0</v>
      </c>
      <c r="G32" s="7">
        <v>1.0</v>
      </c>
      <c r="H32" s="7">
        <v>3.0</v>
      </c>
      <c r="I32" s="7">
        <v>4.0</v>
      </c>
      <c r="J32" s="7">
        <v>0.0</v>
      </c>
      <c r="K32" s="7">
        <v>2.0</v>
      </c>
      <c r="L32" s="7">
        <v>0.0</v>
      </c>
    </row>
    <row r="33" ht="15.75" customHeight="1">
      <c r="A33" s="6" t="s">
        <v>57</v>
      </c>
      <c r="B33" s="7">
        <v>0.0</v>
      </c>
      <c r="C33" s="7">
        <v>0.0</v>
      </c>
      <c r="D33" s="7">
        <v>0.0</v>
      </c>
      <c r="E33" s="7">
        <v>4.0</v>
      </c>
      <c r="F33" s="7">
        <v>12.0</v>
      </c>
      <c r="G33" s="7">
        <v>0.0</v>
      </c>
      <c r="H33" s="7">
        <v>0.0</v>
      </c>
      <c r="I33" s="7">
        <v>1.0</v>
      </c>
      <c r="J33" s="7">
        <v>8.0</v>
      </c>
      <c r="K33" s="7">
        <v>1.0</v>
      </c>
      <c r="L33" s="7">
        <v>0.0</v>
      </c>
    </row>
    <row r="34" ht="15.75" customHeight="1">
      <c r="A34" s="6" t="s">
        <v>60</v>
      </c>
      <c r="B34" s="7">
        <v>0.0</v>
      </c>
      <c r="C34" s="7">
        <v>0.0</v>
      </c>
      <c r="D34" s="7">
        <v>0.0</v>
      </c>
      <c r="E34" s="7">
        <v>0.0</v>
      </c>
      <c r="F34" s="7">
        <v>1.0</v>
      </c>
      <c r="G34" s="7">
        <v>0.0</v>
      </c>
      <c r="H34" s="7">
        <v>3.0</v>
      </c>
      <c r="I34" s="7">
        <v>0.0</v>
      </c>
      <c r="J34" s="7">
        <v>0.0</v>
      </c>
      <c r="K34" s="7">
        <v>0.0</v>
      </c>
      <c r="L34" s="7">
        <v>0.0</v>
      </c>
    </row>
    <row r="35" ht="15.75" customHeight="1">
      <c r="A35" s="6" t="s">
        <v>61</v>
      </c>
      <c r="B35" s="7">
        <v>0.0</v>
      </c>
      <c r="C35" s="7">
        <v>0.0</v>
      </c>
      <c r="D35" s="7">
        <v>0.0</v>
      </c>
      <c r="E35" s="7">
        <v>0.0</v>
      </c>
      <c r="F35" s="7">
        <v>0.0</v>
      </c>
      <c r="G35" s="7">
        <v>0.0</v>
      </c>
      <c r="H35" s="7">
        <v>0.0</v>
      </c>
      <c r="I35" s="7">
        <v>0.0</v>
      </c>
      <c r="J35" s="7">
        <v>1.0</v>
      </c>
      <c r="K35" s="7">
        <v>0.0</v>
      </c>
      <c r="L35" s="7">
        <v>0.0</v>
      </c>
    </row>
    <row r="36" ht="15.75" customHeight="1">
      <c r="A36" s="6" t="s">
        <v>63</v>
      </c>
      <c r="B36" s="7">
        <v>0.0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1.0</v>
      </c>
      <c r="J36" s="7">
        <v>0.0</v>
      </c>
      <c r="K36" s="7">
        <v>0.0</v>
      </c>
      <c r="L36" s="7">
        <v>4.0</v>
      </c>
    </row>
    <row r="37" ht="15.75" customHeight="1">
      <c r="A37" s="6" t="s">
        <v>65</v>
      </c>
      <c r="B37" s="7">
        <v>0.0</v>
      </c>
      <c r="C37" s="7">
        <v>0.0</v>
      </c>
      <c r="D37" s="7">
        <v>0.0</v>
      </c>
      <c r="E37" s="7">
        <v>2.0</v>
      </c>
      <c r="F37" s="7">
        <v>1.0</v>
      </c>
      <c r="G37" s="7">
        <v>1.0</v>
      </c>
      <c r="H37" s="7">
        <v>1.0</v>
      </c>
      <c r="I37" s="7">
        <v>0.0</v>
      </c>
      <c r="J37" s="7">
        <v>2.0</v>
      </c>
      <c r="K37" s="7">
        <v>26.0</v>
      </c>
      <c r="L37" s="7">
        <v>1.0</v>
      </c>
    </row>
    <row r="38" ht="15.75" customHeight="1">
      <c r="A38" s="6" t="s">
        <v>66</v>
      </c>
      <c r="B38" s="7">
        <v>2.0</v>
      </c>
      <c r="C38" s="7">
        <v>0.0</v>
      </c>
      <c r="D38" s="7">
        <v>1.0</v>
      </c>
      <c r="E38" s="7">
        <v>0.0</v>
      </c>
      <c r="F38" s="7">
        <v>0.0</v>
      </c>
      <c r="G38" s="7">
        <v>1.0</v>
      </c>
      <c r="H38" s="7">
        <v>0.0</v>
      </c>
      <c r="I38" s="7">
        <v>7.0</v>
      </c>
      <c r="J38" s="7">
        <v>7.0</v>
      </c>
      <c r="K38" s="7">
        <v>1.0</v>
      </c>
      <c r="L38" s="7">
        <v>1.0</v>
      </c>
    </row>
    <row r="39" ht="15.75" customHeight="1">
      <c r="A39" s="6" t="s">
        <v>67</v>
      </c>
      <c r="B39" s="7">
        <v>1.0</v>
      </c>
      <c r="C39" s="7">
        <v>0.0</v>
      </c>
      <c r="D39" s="7">
        <v>1.0</v>
      </c>
      <c r="E39" s="7">
        <v>0.0</v>
      </c>
      <c r="F39" s="7">
        <v>1.0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</row>
    <row r="40" ht="15.75" customHeight="1">
      <c r="A40" s="6" t="s">
        <v>68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</row>
    <row r="41" ht="15.75" customHeight="1">
      <c r="A41" s="6" t="s">
        <v>71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2.0</v>
      </c>
      <c r="K41" s="7">
        <v>0.0</v>
      </c>
      <c r="L41" s="7">
        <v>0.0</v>
      </c>
    </row>
    <row r="42" ht="15.75" customHeight="1">
      <c r="A42" s="6" t="s">
        <v>72</v>
      </c>
      <c r="B42" s="7">
        <v>2.0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</row>
    <row r="43" ht="15.75" customHeight="1">
      <c r="A43" s="6" t="s">
        <v>73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1.0</v>
      </c>
      <c r="J43" s="7">
        <v>0.0</v>
      </c>
      <c r="K43" s="7">
        <v>1.0</v>
      </c>
      <c r="L43" s="7">
        <v>0.0</v>
      </c>
    </row>
    <row r="44" ht="15.75" customHeight="1">
      <c r="A44" s="6" t="s">
        <v>74</v>
      </c>
      <c r="B44" s="7">
        <v>2.0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1.0</v>
      </c>
      <c r="I44" s="7">
        <v>1.0</v>
      </c>
      <c r="J44" s="7">
        <v>0.0</v>
      </c>
      <c r="K44" s="7">
        <v>0.0</v>
      </c>
      <c r="L44" s="7">
        <v>1.0</v>
      </c>
    </row>
    <row r="45" ht="15.75" customHeight="1">
      <c r="A45" s="6" t="s">
        <v>75</v>
      </c>
      <c r="B45" s="7">
        <v>0.0</v>
      </c>
      <c r="C45" s="7">
        <v>0.0</v>
      </c>
      <c r="D45" s="7">
        <v>0.0</v>
      </c>
      <c r="E45" s="7">
        <v>0.0</v>
      </c>
      <c r="F45" s="7">
        <v>0.0</v>
      </c>
      <c r="G45" s="7">
        <v>2.0</v>
      </c>
      <c r="H45" s="7">
        <v>0.0</v>
      </c>
      <c r="I45" s="7">
        <v>1.0</v>
      </c>
      <c r="J45" s="7">
        <v>0.0</v>
      </c>
      <c r="K45" s="7">
        <v>0.0</v>
      </c>
      <c r="L45" s="7">
        <v>0.0</v>
      </c>
    </row>
    <row r="46" ht="15.75" customHeight="1">
      <c r="A46" s="6" t="s">
        <v>76</v>
      </c>
      <c r="B46" s="7">
        <v>0.0</v>
      </c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1.0</v>
      </c>
      <c r="I46" s="7">
        <v>0.0</v>
      </c>
      <c r="J46" s="7">
        <v>2.0</v>
      </c>
      <c r="K46" s="7">
        <v>0.0</v>
      </c>
      <c r="L46" s="7">
        <v>0.0</v>
      </c>
    </row>
    <row r="47" ht="15.75" customHeight="1">
      <c r="A47" s="6" t="s">
        <v>77</v>
      </c>
      <c r="B47" s="7">
        <v>0.0</v>
      </c>
      <c r="C47" s="7">
        <v>1.0</v>
      </c>
      <c r="D47" s="7">
        <v>0.0</v>
      </c>
      <c r="E47" s="7">
        <v>1.0</v>
      </c>
      <c r="F47" s="7">
        <v>2.0</v>
      </c>
      <c r="G47" s="7">
        <v>0.0</v>
      </c>
      <c r="H47" s="7">
        <v>3.0</v>
      </c>
      <c r="I47" s="7">
        <v>0.0</v>
      </c>
      <c r="J47" s="7">
        <v>6.0</v>
      </c>
      <c r="K47" s="7">
        <v>4.0</v>
      </c>
      <c r="L47" s="7">
        <v>3.0</v>
      </c>
    </row>
    <row r="48" ht="15.75" customHeight="1">
      <c r="A48" s="6" t="s">
        <v>78</v>
      </c>
      <c r="B48" s="7">
        <v>1.0</v>
      </c>
      <c r="C48" s="7">
        <v>0.0</v>
      </c>
      <c r="D48" s="7">
        <v>1.0</v>
      </c>
      <c r="E48" s="7">
        <v>1.0</v>
      </c>
      <c r="F48" s="7">
        <v>1.0</v>
      </c>
      <c r="G48" s="7">
        <v>1.0</v>
      </c>
      <c r="H48" s="7">
        <v>0.0</v>
      </c>
      <c r="I48" s="7">
        <v>2.0</v>
      </c>
      <c r="J48" s="7">
        <v>0.0</v>
      </c>
      <c r="K48" s="7">
        <v>0.0</v>
      </c>
      <c r="L48" s="7">
        <v>0.0</v>
      </c>
    </row>
    <row r="49" ht="15.75" customHeight="1">
      <c r="A49" s="6" t="s">
        <v>79</v>
      </c>
      <c r="B49" s="7">
        <v>0.0</v>
      </c>
      <c r="C49" s="7">
        <v>0.0</v>
      </c>
      <c r="D49" s="7">
        <v>0.0</v>
      </c>
      <c r="E49" s="7">
        <v>0.0</v>
      </c>
      <c r="F49" s="7">
        <v>0.0</v>
      </c>
      <c r="G49" s="7">
        <v>1.0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</row>
    <row r="50" ht="15.75" customHeight="1">
      <c r="A50" s="6" t="s">
        <v>80</v>
      </c>
      <c r="B50" s="7">
        <v>0.0</v>
      </c>
      <c r="C50" s="7">
        <v>0.0</v>
      </c>
      <c r="D50" s="7">
        <v>0.0</v>
      </c>
      <c r="E50" s="7">
        <v>0.0</v>
      </c>
      <c r="F50" s="7">
        <v>0.0</v>
      </c>
      <c r="G50" s="7">
        <v>0.0</v>
      </c>
      <c r="H50" s="7">
        <v>0.0</v>
      </c>
      <c r="I50" s="7">
        <v>2.0</v>
      </c>
      <c r="J50" s="7">
        <v>0.0</v>
      </c>
      <c r="K50" s="7">
        <v>0.0</v>
      </c>
      <c r="L50" s="7">
        <v>0.0</v>
      </c>
    </row>
    <row r="51" ht="15.75" customHeight="1">
      <c r="A51" s="6" t="s">
        <v>82</v>
      </c>
      <c r="B51" s="7">
        <v>0.0</v>
      </c>
      <c r="C51" s="7">
        <v>0.0</v>
      </c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4.0</v>
      </c>
      <c r="L51" s="7">
        <v>0.0</v>
      </c>
    </row>
    <row r="52" ht="15.75" customHeight="1">
      <c r="A52" s="6" t="s">
        <v>84</v>
      </c>
      <c r="B52" s="7">
        <v>1.0</v>
      </c>
      <c r="C52" s="7">
        <v>0.0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</row>
    <row r="53" ht="15.75" customHeight="1">
      <c r="A53" s="6" t="s">
        <v>87</v>
      </c>
      <c r="B53" s="7">
        <v>6.0</v>
      </c>
      <c r="C53" s="7">
        <v>0.0</v>
      </c>
      <c r="D53" s="7">
        <v>1.0</v>
      </c>
      <c r="E53" s="7">
        <v>1.0</v>
      </c>
      <c r="F53" s="7">
        <v>1.0</v>
      </c>
      <c r="G53" s="7">
        <v>1.0</v>
      </c>
      <c r="H53" s="7">
        <v>0.0</v>
      </c>
      <c r="I53" s="7">
        <v>1.0</v>
      </c>
      <c r="J53" s="7">
        <v>0.0</v>
      </c>
      <c r="K53" s="7">
        <v>2.0</v>
      </c>
      <c r="L53" s="7">
        <v>2.0</v>
      </c>
    </row>
    <row r="54" ht="15.75" customHeight="1">
      <c r="A54" s="6" t="s">
        <v>90</v>
      </c>
      <c r="B54" s="7">
        <v>0.0</v>
      </c>
      <c r="C54" s="7">
        <v>0.0</v>
      </c>
      <c r="D54" s="7">
        <v>0.0</v>
      </c>
      <c r="E54" s="7">
        <v>0.0</v>
      </c>
      <c r="F54" s="7">
        <v>0.0</v>
      </c>
      <c r="G54" s="7">
        <v>0.0</v>
      </c>
      <c r="H54" s="7">
        <v>1.0</v>
      </c>
      <c r="I54" s="7">
        <v>0.0</v>
      </c>
      <c r="J54" s="7">
        <v>1.0</v>
      </c>
      <c r="K54" s="7">
        <v>0.0</v>
      </c>
      <c r="L54" s="7">
        <v>0.0</v>
      </c>
    </row>
    <row r="55" ht="15.75" customHeight="1">
      <c r="A55" s="6" t="s">
        <v>129</v>
      </c>
      <c r="B55" s="7">
        <v>0.0</v>
      </c>
      <c r="C55" s="7">
        <v>0.0</v>
      </c>
      <c r="D55" s="7">
        <v>0.0</v>
      </c>
      <c r="E55" s="7">
        <v>0.0</v>
      </c>
      <c r="F55" s="7">
        <v>0.0</v>
      </c>
      <c r="G55" s="7">
        <v>0.0</v>
      </c>
      <c r="H55" s="7">
        <v>0.0</v>
      </c>
      <c r="I55" s="7">
        <v>2.0</v>
      </c>
      <c r="J55" s="7">
        <v>0.0</v>
      </c>
      <c r="K55" s="7">
        <v>0.0</v>
      </c>
      <c r="L55" s="7">
        <v>0.0</v>
      </c>
    </row>
    <row r="56" ht="15.75" customHeight="1">
      <c r="A56" s="6" t="s">
        <v>92</v>
      </c>
      <c r="B56" s="7">
        <v>3.0</v>
      </c>
      <c r="C56" s="7">
        <v>0.0</v>
      </c>
      <c r="D56" s="7">
        <v>0.0</v>
      </c>
      <c r="E56" s="7">
        <v>0.0</v>
      </c>
      <c r="F56" s="7">
        <v>1.0</v>
      </c>
      <c r="G56" s="7">
        <v>0.0</v>
      </c>
      <c r="H56" s="7">
        <v>1.0</v>
      </c>
      <c r="I56" s="7">
        <v>1.0</v>
      </c>
      <c r="J56" s="7">
        <v>1.0</v>
      </c>
      <c r="K56" s="7">
        <v>2.0</v>
      </c>
      <c r="L56" s="7">
        <v>3.0</v>
      </c>
    </row>
    <row r="57" ht="15.75" customHeight="1">
      <c r="A57" s="6" t="s">
        <v>93</v>
      </c>
      <c r="B57" s="7">
        <v>212.0</v>
      </c>
      <c r="C57" s="7">
        <v>1.0</v>
      </c>
      <c r="D57" s="7">
        <v>0.0</v>
      </c>
      <c r="E57" s="7">
        <v>4.0</v>
      </c>
      <c r="F57" s="7">
        <v>1.0</v>
      </c>
      <c r="G57" s="7">
        <v>0.0</v>
      </c>
      <c r="H57" s="7">
        <v>1.0</v>
      </c>
      <c r="I57" s="7">
        <v>2.0</v>
      </c>
      <c r="J57" s="7">
        <v>2.0</v>
      </c>
      <c r="K57" s="7">
        <v>2.0</v>
      </c>
      <c r="L57" s="7">
        <v>0.0</v>
      </c>
    </row>
    <row r="58" ht="15.75" customHeight="1">
      <c r="A58" s="6" t="s">
        <v>94</v>
      </c>
      <c r="B58" s="7">
        <v>2.0</v>
      </c>
      <c r="C58" s="7">
        <v>0.0</v>
      </c>
      <c r="D58" s="7">
        <v>0.0</v>
      </c>
      <c r="E58" s="7">
        <v>1.0</v>
      </c>
      <c r="F58" s="7">
        <v>4.0</v>
      </c>
      <c r="G58" s="7">
        <v>1.0</v>
      </c>
      <c r="H58" s="7">
        <v>3.0</v>
      </c>
      <c r="I58" s="7">
        <v>4.0</v>
      </c>
      <c r="J58" s="7">
        <v>4.0</v>
      </c>
      <c r="K58" s="7">
        <v>4.0</v>
      </c>
      <c r="L58" s="7">
        <v>3.0</v>
      </c>
    </row>
    <row r="59" ht="15.75" customHeight="1">
      <c r="A59" s="6" t="s">
        <v>95</v>
      </c>
      <c r="B59" s="7">
        <v>0.0</v>
      </c>
      <c r="C59" s="7">
        <v>0.0</v>
      </c>
      <c r="D59" s="7">
        <v>0.0</v>
      </c>
      <c r="E59" s="7">
        <v>0.0</v>
      </c>
      <c r="F59" s="7">
        <v>0.0</v>
      </c>
      <c r="G59" s="7">
        <v>0.0</v>
      </c>
      <c r="H59" s="7">
        <v>0.0</v>
      </c>
      <c r="I59" s="7">
        <v>0.0</v>
      </c>
      <c r="J59" s="7">
        <v>0.0</v>
      </c>
      <c r="K59" s="7">
        <v>1.0</v>
      </c>
      <c r="L59" s="7">
        <v>0.0</v>
      </c>
    </row>
    <row r="60" ht="15.75" customHeight="1">
      <c r="A60" s="6" t="s">
        <v>97</v>
      </c>
      <c r="B60" s="7">
        <v>0.0</v>
      </c>
      <c r="C60" s="7">
        <v>0.0</v>
      </c>
      <c r="D60" s="7">
        <v>0.0</v>
      </c>
      <c r="E60" s="7">
        <v>0.0</v>
      </c>
      <c r="F60" s="7">
        <v>0.0</v>
      </c>
      <c r="G60" s="7">
        <v>0.0</v>
      </c>
      <c r="H60" s="7">
        <v>0.0</v>
      </c>
      <c r="I60" s="7">
        <v>2.0</v>
      </c>
      <c r="J60" s="7">
        <v>2.0</v>
      </c>
      <c r="K60" s="7">
        <v>3.0</v>
      </c>
      <c r="L60" s="7">
        <v>0.0</v>
      </c>
    </row>
    <row r="61" ht="15.75" customHeight="1">
      <c r="A61" s="6" t="s">
        <v>98</v>
      </c>
      <c r="B61" s="7">
        <v>0.0</v>
      </c>
      <c r="C61" s="7">
        <v>0.0</v>
      </c>
      <c r="D61" s="7">
        <v>0.0</v>
      </c>
      <c r="E61" s="7">
        <v>0.0</v>
      </c>
      <c r="F61" s="7">
        <v>0.0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1.0</v>
      </c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5.75" customHeight="1">
      <c r="A63" s="9" t="s">
        <v>10</v>
      </c>
      <c r="B63" s="29">
        <f t="shared" ref="B63:L63" si="1">SUM(B5:B61)</f>
        <v>296</v>
      </c>
      <c r="C63" s="29">
        <f t="shared" si="1"/>
        <v>5</v>
      </c>
      <c r="D63" s="29">
        <f t="shared" si="1"/>
        <v>15</v>
      </c>
      <c r="E63" s="29">
        <f t="shared" si="1"/>
        <v>27</v>
      </c>
      <c r="F63" s="29">
        <f t="shared" si="1"/>
        <v>34</v>
      </c>
      <c r="G63" s="29">
        <f t="shared" si="1"/>
        <v>14</v>
      </c>
      <c r="H63" s="29">
        <f t="shared" si="1"/>
        <v>30</v>
      </c>
      <c r="I63" s="29">
        <f t="shared" si="1"/>
        <v>52</v>
      </c>
      <c r="J63" s="29">
        <f t="shared" si="1"/>
        <v>54</v>
      </c>
      <c r="K63" s="29">
        <f t="shared" si="1"/>
        <v>89</v>
      </c>
      <c r="L63" s="29">
        <f t="shared" si="1"/>
        <v>38</v>
      </c>
    </row>
    <row r="64" ht="15.75" customHeight="1">
      <c r="A64" s="6" t="s">
        <v>173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3">
    <mergeCell ref="A1:L1"/>
    <mergeCell ref="A2:L2"/>
    <mergeCell ref="A3:L3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</cols>
  <sheetData>
    <row r="1">
      <c r="A1" s="22" t="s">
        <v>137</v>
      </c>
    </row>
    <row r="2">
      <c r="A2" s="2" t="s">
        <v>1</v>
      </c>
    </row>
    <row r="3">
      <c r="A3" s="3" t="s">
        <v>2</v>
      </c>
    </row>
    <row r="4">
      <c r="A4" s="5" t="s">
        <v>102</v>
      </c>
      <c r="B4" s="59" t="s">
        <v>175</v>
      </c>
      <c r="C4" s="59" t="s">
        <v>176</v>
      </c>
      <c r="D4" s="52" t="s">
        <v>151</v>
      </c>
    </row>
    <row r="5">
      <c r="A5" s="6" t="s">
        <v>114</v>
      </c>
      <c r="B5" s="32">
        <v>58.0</v>
      </c>
      <c r="C5" s="32">
        <v>128.0</v>
      </c>
      <c r="D5" s="32">
        <v>16.0</v>
      </c>
    </row>
    <row r="6">
      <c r="A6" s="6" t="s">
        <v>115</v>
      </c>
      <c r="B6" s="32">
        <v>227.0</v>
      </c>
      <c r="C6" s="32">
        <v>158.0</v>
      </c>
      <c r="D6" s="32">
        <v>57.0</v>
      </c>
    </row>
    <row r="7">
      <c r="A7" s="6" t="s">
        <v>103</v>
      </c>
      <c r="B7" s="32">
        <v>261.0</v>
      </c>
      <c r="C7" s="32">
        <v>2804.0</v>
      </c>
      <c r="D7" s="32">
        <v>156.0</v>
      </c>
    </row>
    <row r="8">
      <c r="A8" s="6" t="s">
        <v>104</v>
      </c>
      <c r="B8" s="32">
        <v>321.0</v>
      </c>
      <c r="C8" s="32">
        <v>854.0</v>
      </c>
      <c r="D8" s="32">
        <v>45.0</v>
      </c>
    </row>
    <row r="9">
      <c r="A9" s="6" t="s">
        <v>113</v>
      </c>
      <c r="B9" s="32">
        <v>9.0</v>
      </c>
      <c r="C9" s="32">
        <v>77.0</v>
      </c>
      <c r="D9" s="32">
        <v>3.0</v>
      </c>
    </row>
    <row r="10">
      <c r="A10" s="6" t="s">
        <v>112</v>
      </c>
      <c r="B10" s="32">
        <v>93.0</v>
      </c>
      <c r="C10" s="32">
        <v>170.0</v>
      </c>
      <c r="D10" s="32">
        <v>0.0</v>
      </c>
    </row>
    <row r="11">
      <c r="A11" s="6" t="s">
        <v>111</v>
      </c>
      <c r="B11" s="32">
        <v>46.0</v>
      </c>
      <c r="C11" s="32">
        <v>111.0</v>
      </c>
      <c r="D11" s="32">
        <v>20.0</v>
      </c>
    </row>
    <row r="12">
      <c r="A12" s="6" t="s">
        <v>110</v>
      </c>
      <c r="B12" s="32">
        <v>112.0</v>
      </c>
      <c r="C12" s="32">
        <v>195.0</v>
      </c>
      <c r="D12" s="32">
        <v>2.0</v>
      </c>
    </row>
    <row r="13">
      <c r="A13" s="6" t="s">
        <v>109</v>
      </c>
      <c r="B13" s="32">
        <v>192.0</v>
      </c>
      <c r="C13" s="32">
        <v>37.0</v>
      </c>
      <c r="D13" s="32">
        <v>20.0</v>
      </c>
    </row>
    <row r="14">
      <c r="A14" s="6" t="s">
        <v>105</v>
      </c>
      <c r="B14" s="32">
        <v>464.0</v>
      </c>
      <c r="C14" s="32">
        <v>30.0</v>
      </c>
      <c r="D14" s="32">
        <v>4.0</v>
      </c>
    </row>
    <row r="15">
      <c r="A15" s="6" t="s">
        <v>106</v>
      </c>
      <c r="B15" s="32">
        <v>60.0</v>
      </c>
      <c r="C15" s="32">
        <v>437.0</v>
      </c>
      <c r="D15" s="32">
        <v>36.0</v>
      </c>
    </row>
    <row r="16">
      <c r="A16" s="6" t="s">
        <v>108</v>
      </c>
      <c r="B16" s="32">
        <v>18.0</v>
      </c>
      <c r="C16" s="32">
        <v>17.0</v>
      </c>
      <c r="D16" s="32">
        <v>3.0</v>
      </c>
    </row>
    <row r="17">
      <c r="A17" s="6" t="s">
        <v>107</v>
      </c>
      <c r="B17" s="32">
        <v>115.0</v>
      </c>
      <c r="C17" s="32">
        <v>100.0</v>
      </c>
      <c r="D17" s="32">
        <v>7.0</v>
      </c>
    </row>
    <row r="18">
      <c r="A18" s="6" t="s">
        <v>116</v>
      </c>
      <c r="B18" s="32">
        <v>61.0</v>
      </c>
      <c r="C18" s="32">
        <v>60.0</v>
      </c>
      <c r="D18" s="32">
        <v>72.0</v>
      </c>
    </row>
    <row r="19">
      <c r="A19" s="6" t="s">
        <v>117</v>
      </c>
      <c r="B19" s="32">
        <v>0.0</v>
      </c>
      <c r="C19" s="32">
        <v>2.0</v>
      </c>
      <c r="D19" s="32">
        <v>2.0</v>
      </c>
    </row>
    <row r="20">
      <c r="A20" s="5" t="s">
        <v>118</v>
      </c>
      <c r="B20" s="59" t="s">
        <v>175</v>
      </c>
      <c r="C20" s="59" t="s">
        <v>176</v>
      </c>
      <c r="D20" s="52" t="s">
        <v>151</v>
      </c>
    </row>
    <row r="21">
      <c r="A21" s="15" t="s">
        <v>122</v>
      </c>
      <c r="B21" s="32">
        <f t="shared" ref="B21:D21" si="1">SUM(B5:B6)</f>
        <v>285</v>
      </c>
      <c r="C21" s="32">
        <f t="shared" si="1"/>
        <v>286</v>
      </c>
      <c r="D21" s="32">
        <f t="shared" si="1"/>
        <v>73</v>
      </c>
    </row>
    <row r="22">
      <c r="A22" s="15" t="s">
        <v>119</v>
      </c>
      <c r="B22" s="32">
        <f t="shared" ref="B22:D22" si="2">SUM(B7:B8)</f>
        <v>582</v>
      </c>
      <c r="C22" s="32">
        <f t="shared" si="2"/>
        <v>3658</v>
      </c>
      <c r="D22" s="32">
        <f t="shared" si="2"/>
        <v>201</v>
      </c>
    </row>
    <row r="23">
      <c r="A23" s="15" t="s">
        <v>121</v>
      </c>
      <c r="B23" s="32">
        <f t="shared" ref="B23:D23" si="3">sum(B9:B13)</f>
        <v>452</v>
      </c>
      <c r="C23" s="32">
        <f t="shared" si="3"/>
        <v>590</v>
      </c>
      <c r="D23" s="32">
        <f t="shared" si="3"/>
        <v>45</v>
      </c>
    </row>
    <row r="24">
      <c r="A24" s="15" t="s">
        <v>120</v>
      </c>
      <c r="B24" s="32">
        <f t="shared" ref="B24:D24" si="4">sum(B14:B17)</f>
        <v>657</v>
      </c>
      <c r="C24" s="32">
        <f t="shared" si="4"/>
        <v>584</v>
      </c>
      <c r="D24" s="32">
        <f t="shared" si="4"/>
        <v>50</v>
      </c>
    </row>
    <row r="25">
      <c r="A25" s="15" t="s">
        <v>123</v>
      </c>
      <c r="B25" s="32">
        <f t="shared" ref="B25:D25" si="5">SUM(B18:B19)</f>
        <v>61</v>
      </c>
      <c r="C25" s="32">
        <f t="shared" si="5"/>
        <v>62</v>
      </c>
      <c r="D25" s="32">
        <f t="shared" si="5"/>
        <v>74</v>
      </c>
    </row>
    <row r="26">
      <c r="A26" s="43" t="s">
        <v>10</v>
      </c>
      <c r="B26" s="32">
        <f t="shared" ref="B26:D26" si="6">sum(B21:B25)</f>
        <v>2037</v>
      </c>
      <c r="C26" s="32">
        <f t="shared" si="6"/>
        <v>5180</v>
      </c>
      <c r="D26" s="32">
        <f t="shared" si="6"/>
        <v>443</v>
      </c>
    </row>
    <row r="27">
      <c r="A27" s="60" t="s">
        <v>177</v>
      </c>
    </row>
  </sheetData>
  <mergeCells count="4">
    <mergeCell ref="A1:D1"/>
    <mergeCell ref="A2:D2"/>
    <mergeCell ref="A3:D3"/>
    <mergeCell ref="A27:D27"/>
  </mergeCells>
  <hyperlinks>
    <hyperlink r:id="rId1" ref="A3"/>
  </hyperlinks>
  <drawing r:id="rId2"/>
</worksheet>
</file>